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1dd89bbcf046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cdd9e89d60044c22"/>
    <x:sheet xmlns:r="http://schemas.openxmlformats.org/officeDocument/2006/relationships" name="Expenses" sheetId="2" r:id="R8a7ed70eb297448c"/>
    <x:sheet xmlns:r="http://schemas.openxmlformats.org/officeDocument/2006/relationships" name="Payments" sheetId="3" r:id="R70992b9ffb464299"/>
    <x:sheet xmlns:r="http://schemas.openxmlformats.org/officeDocument/2006/relationships" name="Balances" sheetId="4" r:id="R31b91c4804854a2a"/>
    <x:sheet xmlns:r="http://schemas.openxmlformats.org/officeDocument/2006/relationships" name="Monthly Summary" sheetId="5" r:id="R50c604fee50c4e01"/>
    <x:sheet xmlns:r="http://schemas.openxmlformats.org/officeDocument/2006/relationships" name="Settings" sheetId="6" r:id="Rd9a3737dc2a1453c"/>
    <x:sheet xmlns:r="http://schemas.openxmlformats.org/officeDocument/2006/relationships" name="Activity Log" sheetId="7" r:id="Ref32329ccb814e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$#,##0.00"/>
    <x:numFmt numFmtId="201" formatCode="$#,##0.00;[Red]-$#,##0.00"/>
    <x:numFmt numFmtId="202" formatCode="yyyy-mm-dd"/>
    <x:numFmt numFmtId="203" formatCode="yyyy-mm-dd hh:mm"/>
  </x:numFmts>
  <x:fonts count="7">
    <x:font>
      <x:sz val="11"/>
      <x:name val="Carlito"/>
    </x:font>
    <x:font>
      <x:b/>
      <x:sz val="20"/>
      <x:color rgb="FFFFFFFF"/>
      <x:name val="Carlito"/>
    </x:font>
    <x:font>
      <x:b/>
      <x:sz val="11"/>
      <x:color rgb="FF12343B"/>
      <x:name val="Carlito"/>
    </x:font>
    <x:font>
      <x:b/>
      <x:sz val="18"/>
      <x:color rgb="FF12343B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11"/>
      <x:color rgb="FF047857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F4C81"/>
      </x:patternFill>
    </x:fill>
    <x:fill>
      <x:patternFill patternType="solid">
        <x:fgColor rgb="FFEAF4FB"/>
      </x:patternFill>
    </x:fill>
    <x:fill>
      <x:patternFill patternType="solid">
        <x:fgColor rgb="FFE6F5F2"/>
      </x:patternFill>
    </x:fill>
    <x:fill>
      <x:patternFill patternType="solid">
        <x:fgColor rgb="FF2A9D8F"/>
      </x:patternFill>
    </x:fill>
    <x:fill>
      <x:patternFill patternType="solid">
        <x:fgColor rgb="FF1F7A8C"/>
      </x:patternFill>
    </x:fill>
    <x:fill>
      <x:patternFill patternType="solid">
        <x:fgColor rgb="FFFFFFFF"/>
      </x:patternFill>
    </x:fill>
    <x:fill>
      <x:patternFill patternType="solid">
        <x:fgColor rgb="FF0F766E"/>
      </x:patternFill>
    </x:fill>
    <x:fill>
      <x:patternFill patternType="solid">
        <x:fgColor rgb="FFECFDF5"/>
      </x:patternFill>
    </x:fill>
  </x:fills>
  <x:borders count="2">
    <x:border/>
    <x:border/>
  </x:borders>
  <x:cellStyleXfs count="1">
    <x:xf numFmtId="0" fontId="0" fillId="0" borderId="0"/>
  </x:cellStyleXfs>
  <x:cellXfs count="10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4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horizontal="center"/>
    </x:xf>
    <x:xf numFmtId="0" fontId="4" fillId="6" borderId="1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200" fontId="0" fillId="7" borderId="0" xfId="0" applyNumberFormat="1" applyFont="1" applyFill="1" applyBorder="1"/>
    <x:xf numFmtId="200" fontId="0" fillId="7" borderId="1" xfId="0" applyNumberFormat="1" applyFont="1" applyFill="1" applyBorder="1"/>
    <x:xf numFmtId="201" fontId="0" fillId="7" borderId="0" xfId="0" applyNumberFormat="1" applyFont="1" applyFill="1" applyBorder="1"/>
    <x:xf numFmtId="201" fontId="0" fillId="7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 applyAlignment="1">
      <x:alignment wrapText="1"/>
    </x:xf>
    <x:xf numFmtId="201" fontId="0" fillId="7" borderId="0" xfId="0" applyNumberFormat="1" applyFont="1" applyFill="1" applyBorder="1" applyAlignment="1">
      <x:alignment wrapText="1"/>
    </x:xf>
    <x:xf numFmtId="200" fontId="0" fillId="7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5" fillId="2" borderId="1" xfId="0" applyNumberFormat="1" applyFont="1" applyFill="1" applyBorder="1" applyAlignment="1">
      <x:alignment horizontal="center" wrapText="1"/>
    </x:xf>
    <x:xf numFmtId="0" fontId="0" fillId="7" borderId="1" xfId="0" applyNumberFormat="1" applyFont="1" applyFill="1" applyBorder="1" applyAlignment="1">
      <x:alignment wrapText="1"/>
    </x:xf>
    <x:xf numFmtId="201" fontId="0" fillId="7" borderId="1" xfId="0" applyNumberFormat="1" applyFont="1" applyFill="1" applyBorder="1" applyAlignment="1">
      <x:alignment wrapText="1"/>
    </x:xf>
    <x:xf numFmtId="200" fontId="0" fillId="7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horizontal="center"/>
    </x:xf>
    <x:xf numFmtId="203" fontId="5" fillId="8" borderId="0" xfId="0" applyNumberFormat="1" applyFont="1" applyFill="1" applyBorder="1" applyAlignment="1">
      <x:alignment horizontal="center"/>
    </x:xf>
    <x:xf numFmtId="200" fontId="5" fillId="8" borderId="0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</x:cellXfs>
  <x:cellStyles count="1">
    <x:cellStyle name="Normal" xfId="0"/>
  </x:cellStyles>
  <x:dxfs count="2">
    <x:dxf>
      <x:font>
        <x:b/>
        <x:color rgb="FF047857"/>
      </x:font>
    </x:dxf>
    <x:dxf>
      <x:font>
        <x:b/>
        <x:color rgb="FFDC2626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b4b192410c4145" /><Relationship Type="http://schemas.openxmlformats.org/officeDocument/2006/relationships/theme" Target="/xl/theme/theme1.xml" Id="Re5a4d898b3b44aac" /><Relationship Type="http://schemas.openxmlformats.org/officeDocument/2006/relationships/sharedStrings" Target="/xl/sharedStrings.xml" Id="Ra8fa5c9b3bab440a" /><Relationship Type="http://schemas.openxmlformats.org/officeDocument/2006/relationships/worksheet" Target="/xl/worksheets/sheet1.xml" Id="Rcdd9e89d60044c22" /><Relationship Type="http://schemas.openxmlformats.org/officeDocument/2006/relationships/worksheet" Target="/xl/worksheets/sheet2.xml" Id="R8a7ed70eb297448c" /><Relationship Type="http://schemas.openxmlformats.org/officeDocument/2006/relationships/worksheet" Target="/xl/worksheets/sheet3.xml" Id="R70992b9ffb464299" /><Relationship Type="http://schemas.openxmlformats.org/officeDocument/2006/relationships/worksheet" Target="/xl/worksheets/sheet4.xml" Id="R31b91c4804854a2a" /><Relationship Type="http://schemas.openxmlformats.org/officeDocument/2006/relationships/worksheet" Target="/xl/worksheets/sheet5.xml" Id="R50c604fee50c4e01" /><Relationship Type="http://schemas.openxmlformats.org/officeDocument/2006/relationships/worksheet" Target="/xl/worksheets/sheet6.xml" Id="Rd9a3737dc2a1453c" /><Relationship Type="http://schemas.openxmlformats.org/officeDocument/2006/relationships/worksheet" Target="/xl/worksheets/sheet7.xml" Id="Ref32329ccb814e5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42" customHeight="1">
      <x:c r="A1" s="63" t="str">
        <x:v>SplitSheet Life Setup</x:v>
      </x:c>
      <x:c r="B1" s="63"/>
      <x:c r="C1" s="63"/>
      <x:c r="D1" s="63"/>
      <x:c r="E1" s="63"/>
      <x:c r="F1" s="63"/>
      <x:c r="G1" s="63"/>
      <x:c r="H1" s="63"/>
      <x:c r="I1" s="63"/>
      <x:c r="J1" s="63"/>
    </x:row>
    <x:row r="2">
      <x:c r="A2" s="64"/>
      <x:c r="B2" s="64"/>
      <x:c r="C2" s="64"/>
      <x:c r="D2" s="64"/>
      <x:c r="E2" s="64"/>
      <x:c r="F2" s="64"/>
      <x:c r="G2" s="64"/>
      <x:c r="H2" s="64"/>
      <x:c r="I2" s="64"/>
      <x:c r="J2" s="64"/>
    </x:row>
    <x:row r="3">
      <x:c r="A3" s="65" t="str">
        <x:v>Dashboard Period</x:v>
      </x:c>
      <x:c r="B3" s="65" t="str">
        <x:v>All Time</x:v>
      </x:c>
      <x:c r="C3" s="64"/>
      <x:c r="D3" s="64"/>
      <x:c r="E3" s="64"/>
      <x:c r="F3" s="64"/>
      <x:c r="G3" s="64"/>
      <x:c r="H3" s="64"/>
      <x:c r="I3" s="64"/>
      <x:c r="J3" s="64"/>
    </x:row>
    <x:row r="4">
      <x:c r="A4" s="64"/>
      <x:c r="B4" s="64"/>
      <x:c r="C4" s="64"/>
      <x:c r="D4" s="64"/>
      <x:c r="E4" s="64"/>
      <x:c r="F4" s="64"/>
      <x:c r="G4" s="64"/>
      <x:c r="H4" s="64"/>
      <x:c r="I4" s="64"/>
      <x:c r="J4" s="64"/>
    </x:row>
    <x:row r="5" ht="40" customHeight="1">
      <x:c r="A5" s="66" t="str">
        <x:f>IF(Balances!E2&gt;0,"Kaya owes Ethan $"&amp;TEXT(Balances!E2,"0.00"),IF(Balances!E2&lt;0,"Ethan owes Kaya $"&amp;TEXT(-Balances!E2,"0.00"),"You are settled up"))</x:f>
        <x:v>You are settled up</x:v>
      </x:c>
      <x:c r="B5" s="66"/>
      <x:c r="C5" s="66"/>
      <x:c r="D5" s="66"/>
      <x:c r="E5" s="66"/>
      <x:c r="F5" s="66"/>
      <x:c r="G5" s="66"/>
      <x:c r="H5" s="66"/>
      <x:c r="I5" s="66"/>
      <x:c r="J5" s="66"/>
    </x:row>
    <x:row r="6">
      <x:c r="A6" s="64"/>
      <x:c r="B6" s="64"/>
      <x:c r="C6" s="64"/>
      <x:c r="D6" s="64"/>
      <x:c r="E6" s="64"/>
      <x:c r="F6" s="64"/>
      <x:c r="G6" s="64"/>
      <x:c r="H6" s="64"/>
      <x:c r="I6" s="64"/>
      <x:c r="J6" s="64"/>
    </x:row>
    <x:row r="7">
      <x:c r="A7" s="64"/>
      <x:c r="B7" s="67" t="str">
        <x:v>＋ Add Expense</x:v>
      </x:c>
      <x:c r="C7" s="67"/>
      <x:c r="D7" s="67"/>
      <x:c r="E7" s="68" t="str">
        <x:v>💸 Add Payment</x:v>
      </x:c>
      <x:c r="F7" s="68"/>
      <x:c r="G7" s="68"/>
      <x:c r="H7" s="69" t="str">
        <x:v>✓ Settle Up</x:v>
      </x:c>
      <x:c r="I7" s="69"/>
      <x:c r="J7" s="69"/>
    </x:row>
    <x:row r="8">
      <x:c r="A8" s="64"/>
      <x:c r="B8" s="67"/>
      <x:c r="C8" s="67"/>
      <x:c r="D8" s="67"/>
      <x:c r="E8" s="68"/>
      <x:c r="F8" s="68"/>
      <x:c r="G8" s="68"/>
      <x:c r="H8" s="69"/>
      <x:c r="I8" s="69"/>
      <x:c r="J8" s="69"/>
    </x:row>
    <x:row r="9">
      <x:c r="A9" s="64"/>
      <x:c r="B9" s="64"/>
      <x:c r="C9" s="64"/>
      <x:c r="D9" s="64"/>
      <x:c r="E9" s="64"/>
      <x:c r="F9" s="64"/>
      <x:c r="G9" s="64"/>
      <x:c r="H9" s="64"/>
      <x:c r="I9" s="64"/>
      <x:c r="J9" s="64"/>
    </x:row>
    <x:row r="10">
      <x:c r="A10" s="64"/>
      <x:c r="B10" s="64"/>
      <x:c r="C10" s="64"/>
      <x:c r="D10" s="64"/>
      <x:c r="E10" s="64"/>
      <x:c r="F10" s="64"/>
      <x:c r="G10" s="64"/>
      <x:c r="H10" s="64"/>
      <x:c r="I10" s="64"/>
      <x:c r="J10" s="64"/>
    </x:row>
    <x:row r="11">
      <x:c r="A11" s="70" t="str">
        <x:v>Person</x:v>
      </x:c>
      <x:c r="B11" s="70" t="str">
        <x:v>Net Position</x:v>
      </x:c>
      <x:c r="C11" s="70" t="str">
        <x:v>Meaning</x:v>
      </x:c>
      <x:c r="D11" s="64"/>
      <x:c r="E11" s="70" t="str">
        <x:v>Selected Period Summary</x:v>
      </x:c>
      <x:c r="F11" s="70"/>
      <x:c r="G11" s="70"/>
      <x:c r="H11" s="70"/>
      <x:c r="I11" s="70"/>
      <x:c r="J11" s="70"/>
    </x:row>
    <x:row r="12">
      <x:c r="A12" s="71" t="str">
        <x:f>Balances!A2</x:f>
        <x:v>Ethan</x:v>
      </x:c>
      <x:c r="B12" s="72" t="n">
        <x:f>Balances!E2</x:f>
        <x:v>0</x:v>
      </x:c>
      <x:c r="C12" s="71" t="str">
        <x:f>Balances!F2</x:f>
        <x:v>Settled</x:v>
      </x:c>
      <x:c r="D12" s="64"/>
      <x:c r="E12" s="65" t="str">
        <x:v>Total Spent</x:v>
      </x:c>
      <x:c r="F12" s="73" t="n">
        <x:f>IF($B$3="All Time",SUM(Expenses!$F:$F),SUMIFS(Expenses!$F:$F,Expenses!$B:$B,"&gt;="&amp;DATEVALUE("1 "&amp;$B$3),Expenses!$B:$B,"&lt;"&amp;EDATE(DATEVALUE("1 "&amp;$B$3),1)))</x:f>
        <x:v>0</x:v>
      </x:c>
      <x:c r="G12" s="64"/>
      <x:c r="H12" s="64"/>
      <x:c r="I12" s="64"/>
      <x:c r="J12" s="64"/>
    </x:row>
    <x:row r="13">
      <x:c r="A13" s="71" t="str">
        <x:f>Balances!A3</x:f>
        <x:v>Kaya</x:v>
      </x:c>
      <x:c r="B13" s="72" t="n">
        <x:f>Balances!E3</x:f>
        <x:v>0</x:v>
      </x:c>
      <x:c r="C13" s="71" t="str">
        <x:f>Balances!F3</x:f>
        <x:v>Settled</x:v>
      </x:c>
      <x:c r="D13" s="64"/>
      <x:c r="E13" s="65" t="str">
        <x:v>Expense Count</x:v>
      </x:c>
      <x:c r="F13" s="73" t="n">
        <x:f>IF($B$3="All Time",COUNT(Expenses!$F:$F),COUNTIFS(Expenses!$B:$B,"&gt;="&amp;DATEVALUE("1 "&amp;$B$3),Expenses!$B:$B,"&lt;"&amp;EDATE(DATEVALUE("1 "&amp;$B$3),1)))</x:f>
        <x:v>0</x:v>
      </x:c>
      <x:c r="G13" s="64"/>
      <x:c r="H13" s="64"/>
      <x:c r="I13" s="64"/>
      <x:c r="J13" s="64"/>
    </x:row>
    <x:row r="14">
      <x:c r="A14" s="64"/>
      <x:c r="B14" s="64"/>
      <x:c r="C14" s="64"/>
      <x:c r="D14" s="64"/>
      <x:c r="E14" s="65" t="str">
        <x:v>Payments Recorded</x:v>
      </x:c>
      <x:c r="F14" s="73" t="n">
        <x:f>IF($B$3="All Time",SUM(Payments!$D:$D),SUMIFS(Payments!$D:$D,Payments!$A:$A,"&gt;="&amp;DATEVALUE("1 "&amp;$B$3),Payments!$A:$A,"&lt;"&amp;EDATE(DATEVALUE("1 "&amp;$B$3),1)))</x:f>
        <x:v>0</x:v>
      </x:c>
      <x:c r="G14" s="64"/>
      <x:c r="H14" s="64"/>
      <x:c r="I14" s="64"/>
      <x:c r="J14" s="64"/>
    </x:row>
    <x:row r="15">
      <x:c r="A15" s="64"/>
      <x:c r="B15" s="64"/>
      <x:c r="C15" s="64"/>
      <x:c r="D15" s="64"/>
      <x:c r="E15" s="64"/>
      <x:c r="F15" s="64"/>
      <x:c r="G15" s="64"/>
      <x:c r="H15" s="64"/>
      <x:c r="I15" s="64"/>
      <x:c r="J15" s="64"/>
    </x:row>
    <x:row r="16">
      <x:c r="A16" s="74" t="str">
        <x:v>Recent Expenses</x:v>
      </x:c>
      <x:c r="B16" s="74"/>
      <x:c r="C16" s="74"/>
      <x:c r="D16" s="74"/>
      <x:c r="E16" s="74"/>
      <x:c r="F16" s="74"/>
      <x:c r="G16" s="74"/>
      <x:c r="H16" s="74"/>
      <x:c r="I16" s="74"/>
      <x:c r="J16" s="74"/>
    </x:row>
    <x:row r="17">
      <x:c r="A17" s="75" t="str">
        <x:v>Date</x:v>
      </x:c>
      <x:c r="B17" s="75" t="str">
        <x:v>Description</x:v>
      </x:c>
      <x:c r="C17" s="75" t="str">
        <x:v>Category</x:v>
      </x:c>
      <x:c r="D17" s="75" t="str">
        <x:v>Paid By</x:v>
      </x:c>
      <x:c r="E17" s="75" t="str">
        <x:v>Amount</x:v>
      </x:c>
      <x:c r="F17" s="75" t="str">
        <x:v>Split</x:v>
      </x:c>
      <x:c r="G17" s="64"/>
      <x:c r="H17" s="64"/>
      <x:c r="I17" s="64"/>
      <x:c r="J17" s="64"/>
    </x:row>
    <x:row r="18">
      <x:c r="A18" s="64" t="str">
        <x:f>IFERROR(QUERY(Expenses!B2:G,"select B,C,D,E,F,G where B is not null order by B desc limit 8",0),"")</x:f>
      </x:c>
      <x:c r="B18" s="64"/>
      <x:c r="C18" s="64"/>
      <x:c r="D18" s="64"/>
      <x:c r="E18" s="64"/>
      <x:c r="F18" s="64"/>
      <x:c r="G18" s="64"/>
      <x:c r="H18" s="64"/>
      <x:c r="I18" s="64"/>
      <x:c r="J18" s="64"/>
    </x:row>
    <x:row r="19">
      <x:c r="A19" s="64"/>
      <x:c r="B19" s="64"/>
      <x:c r="C19" s="64"/>
      <x:c r="D19" s="64"/>
      <x:c r="E19" s="64"/>
      <x:c r="F19" s="64"/>
      <x:c r="G19" s="64"/>
      <x:c r="H19" s="64"/>
      <x:c r="I19" s="64"/>
      <x:c r="J19" s="64"/>
    </x:row>
    <x:row r="20">
      <x:c r="A20" s="64"/>
      <x:c r="B20" s="64"/>
      <x:c r="C20" s="64"/>
      <x:c r="D20" s="64"/>
      <x:c r="E20" s="64"/>
      <x:c r="F20" s="64"/>
      <x:c r="G20" s="64"/>
      <x:c r="H20" s="64"/>
      <x:c r="I20" s="64"/>
      <x:c r="J20" s="64"/>
    </x:row>
    <x:row r="21">
      <x:c r="A21" s="64"/>
      <x:c r="B21" s="64"/>
      <x:c r="C21" s="64"/>
      <x:c r="D21" s="64"/>
      <x:c r="E21" s="64"/>
      <x:c r="F21" s="64"/>
      <x:c r="G21" s="64"/>
      <x:c r="H21" s="64"/>
      <x:c r="I21" s="64"/>
      <x:c r="J21" s="64"/>
    </x:row>
    <x:row r="22">
      <x:c r="A22" s="64"/>
      <x:c r="B22" s="64"/>
      <x:c r="C22" s="64"/>
      <x:c r="D22" s="64"/>
      <x:c r="E22" s="64"/>
      <x:c r="F22" s="64"/>
      <x:c r="G22" s="64"/>
      <x:c r="H22" s="64"/>
      <x:c r="I22" s="64"/>
      <x:c r="J22" s="64"/>
    </x:row>
    <x:row r="23">
      <x:c r="A23" s="64"/>
      <x:c r="B23" s="64"/>
      <x:c r="C23" s="64"/>
      <x:c r="D23" s="64"/>
      <x:c r="E23" s="64"/>
      <x:c r="F23" s="64"/>
      <x:c r="G23" s="64"/>
      <x:c r="H23" s="64"/>
      <x:c r="I23" s="64"/>
      <x:c r="J23" s="64"/>
    </x:row>
    <x:row r="24">
      <x:c r="A24" s="64"/>
      <x:c r="B24" s="64"/>
      <x:c r="C24" s="64"/>
      <x:c r="D24" s="64"/>
      <x:c r="E24" s="64"/>
      <x:c r="F24" s="64"/>
      <x:c r="G24" s="64"/>
      <x:c r="H24" s="64"/>
      <x:c r="I24" s="64"/>
      <x:c r="J24" s="64"/>
    </x:row>
    <x:row r="25">
      <x:c r="A25" s="64"/>
      <x:c r="B25" s="64"/>
      <x:c r="C25" s="64"/>
      <x:c r="D25" s="64"/>
      <x:c r="E25" s="64"/>
      <x:c r="F25" s="64"/>
      <x:c r="G25" s="64"/>
      <x:c r="H25" s="64"/>
      <x:c r="I25" s="64"/>
      <x:c r="J25" s="64"/>
    </x:row>
    <x:row r="26">
      <x:c r="A26" s="64"/>
      <x:c r="B26" s="64"/>
      <x:c r="C26" s="64"/>
      <x:c r="D26" s="64"/>
      <x:c r="E26" s="64"/>
      <x:c r="F26" s="64"/>
      <x:c r="G26" s="64"/>
      <x:c r="H26" s="64"/>
      <x:c r="I26" s="64"/>
      <x:c r="J26" s="64"/>
    </x:row>
  </x:sheetData>
  <x:mergeCells>
    <x:mergeCell ref="A1:J1"/>
    <x:mergeCell ref="A5:J5"/>
    <x:mergeCell ref="B7:D8"/>
    <x:mergeCell ref="E7:G8"/>
    <x:mergeCell ref="H7:J8"/>
    <x:mergeCell ref="E11:J11"/>
    <x:mergeCell ref="A16:J16"/>
  </x:mergeCells>
  <x:conditionalFormatting sqref="B12:B13">
    <x:cfRule type="cellIs" dxfId="0" priority="1" operator="greaterThan">
      <x:formula>0</x:formula>
    </x:cfRule>
    <x:cfRule type="cellIs" dxfId="1" priority="2" operator="lessThan">
      <x:formula>0</x:formula>
    </x:cfRule>
  </x:conditionalFormatting>
  <x:dataValidations count="1">
    <x:dataValidation type="list" sqref="B3">
      <x:formula1>Settings!$E$2:$E$26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3" hidden="0" customWidth="1"/>
    <x:col min="3" max="3" width="24" hidden="0" customWidth="1"/>
    <x:col min="4" max="4" width="18" hidden="0" customWidth="1"/>
    <x:col min="5" max="5" width="12" hidden="0" customWidth="1"/>
    <x:col min="6" max="6" width="12" hidden="0" customWidth="1"/>
    <x:col min="7" max="7" width="22" hidden="0" customWidth="1"/>
    <x:col min="8" max="8" width="13" hidden="0" customWidth="1"/>
    <x:col min="9" max="9" width="13" hidden="0" customWidth="1"/>
    <x:col min="10" max="10" width="24" hidden="0" customWidth="1"/>
    <x:col min="11" max="11" width="28" hidden="0" customWidth="1"/>
  </x:cols>
  <x:sheetData>
    <x:row r="1">
      <x:c r="A1" s="45" t="str">
        <x:v>ID</x:v>
      </x:c>
      <x:c r="B1" s="45" t="str">
        <x:v>Date</x:v>
      </x:c>
      <x:c r="C1" s="45" t="str">
        <x:v>Description</x:v>
      </x:c>
      <x:c r="D1" s="45" t="str">
        <x:v>Category</x:v>
      </x:c>
      <x:c r="E1" s="45" t="str">
        <x:v>Paid By</x:v>
      </x:c>
      <x:c r="F1" s="45" t="str">
        <x:v>Amount</x:v>
      </x:c>
      <x:c r="G1" s="45" t="str">
        <x:v>Split Preset (Ethan/Kaya)</x:v>
      </x:c>
      <x:c r="H1" s="45" t="str">
        <x:v>Ethan Share</x:v>
      </x:c>
      <x:c r="I1" s="45" t="str">
        <x:v>Kaya Share</x:v>
      </x:c>
      <x:c r="J1" s="45" t="str">
        <x:v>Notes</x:v>
      </x:c>
      <x:c r="K1" s="45" t="str">
        <x:v>Receipt Link</x:v>
      </x:c>
    </x:row>
    <x:row r="2">
      <x:c r="A2" s="58" t="str">
        <x:f>IF(B2="","",ROW()-1)</x:f>
      </x:c>
      <x:c r="B2" s="89"/>
      <x:c r="C2" s="58"/>
      <x:c r="D2" s="58"/>
      <x:c r="E2" s="58"/>
      <x:c r="F2" s="91"/>
      <x:c r="G2" s="91"/>
      <x:c r="H2" s="91" t="str">
        <x:f>IF($F2="","",IFERROR(VALUE(LEFT($G2,FIND("/",$G2)-1))/100*$F2,$F2/2))</x:f>
      </x:c>
      <x:c r="I2" s="91" t="str">
        <x:f>IF($F2="","",IFERROR(VALUE(MID($G2,FIND("/",$G2)+1,99))/100*$F2,$F2/2))</x:f>
      </x:c>
      <x:c r="J2" s="58"/>
      <x:c r="K2" s="58"/>
    </x:row>
    <x:row r="3">
      <x:c r="A3" s="58" t="str">
        <x:f>IF(B3="","",ROW()-1)</x:f>
      </x:c>
      <x:c r="B3" s="89"/>
      <x:c r="C3" s="58"/>
      <x:c r="D3" s="58"/>
      <x:c r="E3" s="58"/>
      <x:c r="F3" s="91"/>
      <x:c r="G3" s="91"/>
      <x:c r="H3" s="91" t="str">
        <x:f>IF($F3="","",IFERROR(VALUE(LEFT($G3,FIND("/",$G3)-1))/100*$F3,$F3/2))</x:f>
      </x:c>
      <x:c r="I3" s="91" t="str">
        <x:f>IF($F3="","",IFERROR(VALUE(MID($G3,FIND("/",$G3)+1,99))/100*$F3,$F3/2))</x:f>
      </x:c>
      <x:c r="J3" s="58"/>
      <x:c r="K3" s="58"/>
    </x:row>
    <x:row r="4">
      <x:c r="A4" s="58" t="str">
        <x:f>IF(B4="","",ROW()-1)</x:f>
      </x:c>
      <x:c r="B4" s="89"/>
      <x:c r="C4" s="58"/>
      <x:c r="D4" s="58"/>
      <x:c r="E4" s="58"/>
      <x:c r="F4" s="91"/>
      <x:c r="G4" s="91"/>
      <x:c r="H4" s="91" t="str">
        <x:f>IF($F4="","",IFERROR(VALUE(LEFT($G4,FIND("/",$G4)-1))/100*$F4,$F4/2))</x:f>
      </x:c>
      <x:c r="I4" s="91" t="str">
        <x:f>IF($F4="","",IFERROR(VALUE(MID($G4,FIND("/",$G4)+1,99))/100*$F4,$F4/2))</x:f>
      </x:c>
      <x:c r="J4" s="58"/>
      <x:c r="K4" s="58"/>
    </x:row>
    <x:row r="5">
      <x:c r="A5" s="58" t="str">
        <x:f>IF(B5="","",ROW()-1)</x:f>
      </x:c>
      <x:c r="B5" s="89"/>
      <x:c r="C5" s="58"/>
      <x:c r="D5" s="58"/>
      <x:c r="E5" s="58"/>
      <x:c r="F5" s="91"/>
      <x:c r="G5" s="91"/>
      <x:c r="H5" s="91" t="str">
        <x:f>IF($F5="","",IFERROR(VALUE(LEFT($G5,FIND("/",$G5)-1))/100*$F5,$F5/2))</x:f>
      </x:c>
      <x:c r="I5" s="91" t="str">
        <x:f>IF($F5="","",IFERROR(VALUE(MID($G5,FIND("/",$G5)+1,99))/100*$F5,$F5/2))</x:f>
      </x:c>
      <x:c r="J5" s="58"/>
      <x:c r="K5" s="58"/>
    </x:row>
    <x:row r="6">
      <x:c r="A6" s="58" t="str">
        <x:f>IF(B6="","",ROW()-1)</x:f>
      </x:c>
      <x:c r="B6" s="89"/>
      <x:c r="C6" s="58"/>
      <x:c r="D6" s="58"/>
      <x:c r="E6" s="58"/>
      <x:c r="F6" s="91"/>
      <x:c r="G6" s="91"/>
      <x:c r="H6" s="91" t="str">
        <x:f>IF($F6="","",IFERROR(VALUE(LEFT($G6,FIND("/",$G6)-1))/100*$F6,$F6/2))</x:f>
      </x:c>
      <x:c r="I6" s="91" t="str">
        <x:f>IF($F6="","",IFERROR(VALUE(MID($G6,FIND("/",$G6)+1,99))/100*$F6,$F6/2))</x:f>
      </x:c>
      <x:c r="J6" s="58"/>
      <x:c r="K6" s="58"/>
    </x:row>
    <x:row r="7">
      <x:c r="A7" s="58" t="str">
        <x:f>IF(B7="","",ROW()-1)</x:f>
      </x:c>
      <x:c r="B7" s="89"/>
      <x:c r="C7" s="58"/>
      <x:c r="D7" s="58"/>
      <x:c r="E7" s="58"/>
      <x:c r="F7" s="91"/>
      <x:c r="G7" s="91"/>
      <x:c r="H7" s="91" t="str">
        <x:f>IF($F7="","",IFERROR(VALUE(LEFT($G7,FIND("/",$G7)-1))/100*$F7,$F7/2))</x:f>
      </x:c>
      <x:c r="I7" s="91" t="str">
        <x:f>IF($F7="","",IFERROR(VALUE(MID($G7,FIND("/",$G7)+1,99))/100*$F7,$F7/2))</x:f>
      </x:c>
      <x:c r="J7" s="58"/>
      <x:c r="K7" s="58"/>
    </x:row>
    <x:row r="8">
      <x:c r="A8" s="58" t="str">
        <x:f>IF(B8="","",ROW()-1)</x:f>
      </x:c>
      <x:c r="B8" s="89"/>
      <x:c r="C8" s="58"/>
      <x:c r="D8" s="58"/>
      <x:c r="E8" s="58"/>
      <x:c r="F8" s="91"/>
      <x:c r="G8" s="91"/>
      <x:c r="H8" s="91" t="str">
        <x:f>IF($F8="","",IFERROR(VALUE(LEFT($G8,FIND("/",$G8)-1))/100*$F8,$F8/2))</x:f>
      </x:c>
      <x:c r="I8" s="91" t="str">
        <x:f>IF($F8="","",IFERROR(VALUE(MID($G8,FIND("/",$G8)+1,99))/100*$F8,$F8/2))</x:f>
      </x:c>
      <x:c r="J8" s="58"/>
      <x:c r="K8" s="58"/>
    </x:row>
    <x:row r="9">
      <x:c r="A9" s="58" t="str">
        <x:f>IF(B9="","",ROW()-1)</x:f>
      </x:c>
      <x:c r="B9" s="89"/>
      <x:c r="C9" s="58"/>
      <x:c r="D9" s="58"/>
      <x:c r="E9" s="58"/>
      <x:c r="F9" s="91"/>
      <x:c r="G9" s="91"/>
      <x:c r="H9" s="91" t="str">
        <x:f>IF($F9="","",IFERROR(VALUE(LEFT($G9,FIND("/",$G9)-1))/100*$F9,$F9/2))</x:f>
      </x:c>
      <x:c r="I9" s="91" t="str">
        <x:f>IF($F9="","",IFERROR(VALUE(MID($G9,FIND("/",$G9)+1,99))/100*$F9,$F9/2))</x:f>
      </x:c>
      <x:c r="J9" s="58"/>
      <x:c r="K9" s="58"/>
    </x:row>
    <x:row r="10">
      <x:c r="A10" s="58" t="str">
        <x:f>IF(B10="","",ROW()-1)</x:f>
      </x:c>
      <x:c r="B10" s="89"/>
      <x:c r="C10" s="58"/>
      <x:c r="D10" s="58"/>
      <x:c r="E10" s="58"/>
      <x:c r="F10" s="91"/>
      <x:c r="G10" s="91"/>
      <x:c r="H10" s="91" t="str">
        <x:f>IF($F10="","",IFERROR(VALUE(LEFT($G10,FIND("/",$G10)-1))/100*$F10,$F10/2))</x:f>
      </x:c>
      <x:c r="I10" s="91" t="str">
        <x:f>IF($F10="","",IFERROR(VALUE(MID($G10,FIND("/",$G10)+1,99))/100*$F10,$F10/2))</x:f>
      </x:c>
      <x:c r="J10" s="58"/>
      <x:c r="K10" s="58"/>
    </x:row>
    <x:row r="11">
      <x:c r="A11" s="58" t="str">
        <x:f>IF(B11="","",ROW()-1)</x:f>
      </x:c>
      <x:c r="B11" s="89"/>
      <x:c r="C11" s="58"/>
      <x:c r="D11" s="58"/>
      <x:c r="E11" s="58"/>
      <x:c r="F11" s="91"/>
      <x:c r="G11" s="91"/>
      <x:c r="H11" s="91" t="str">
        <x:f>IF($F11="","",IFERROR(VALUE(LEFT($G11,FIND("/",$G11)-1))/100*$F11,$F11/2))</x:f>
      </x:c>
      <x:c r="I11" s="91" t="str">
        <x:f>IF($F11="","",IFERROR(VALUE(MID($G11,FIND("/",$G11)+1,99))/100*$F11,$F11/2))</x:f>
      </x:c>
      <x:c r="J11" s="58"/>
      <x:c r="K11" s="58"/>
    </x:row>
    <x:row r="12">
      <x:c r="A12" s="58" t="str">
        <x:f>IF(B12="","",ROW()-1)</x:f>
      </x:c>
      <x:c r="B12" s="89"/>
      <x:c r="C12" s="58"/>
      <x:c r="D12" s="58"/>
      <x:c r="E12" s="58"/>
      <x:c r="F12" s="91"/>
      <x:c r="G12" s="91"/>
      <x:c r="H12" s="91" t="str">
        <x:f>IF($F12="","",IFERROR(VALUE(LEFT($G12,FIND("/",$G12)-1))/100*$F12,$F12/2))</x:f>
      </x:c>
      <x:c r="I12" s="91" t="str">
        <x:f>IF($F12="","",IFERROR(VALUE(MID($G12,FIND("/",$G12)+1,99))/100*$F12,$F12/2))</x:f>
      </x:c>
      <x:c r="J12" s="58"/>
      <x:c r="K12" s="58"/>
    </x:row>
    <x:row r="13">
      <x:c r="A13" s="58" t="str">
        <x:f>IF(B13="","",ROW()-1)</x:f>
      </x:c>
      <x:c r="B13" s="89"/>
      <x:c r="C13" s="58"/>
      <x:c r="D13" s="58"/>
      <x:c r="E13" s="58"/>
      <x:c r="F13" s="91"/>
      <x:c r="G13" s="91"/>
      <x:c r="H13" s="91" t="str">
        <x:f>IF($F13="","",IFERROR(VALUE(LEFT($G13,FIND("/",$G13)-1))/100*$F13,$F13/2))</x:f>
      </x:c>
      <x:c r="I13" s="91" t="str">
        <x:f>IF($F13="","",IFERROR(VALUE(MID($G13,FIND("/",$G13)+1,99))/100*$F13,$F13/2))</x:f>
      </x:c>
      <x:c r="J13" s="58"/>
      <x:c r="K13" s="58"/>
    </x:row>
    <x:row r="14">
      <x:c r="A14" s="58" t="str">
        <x:f>IF(B14="","",ROW()-1)</x:f>
      </x:c>
      <x:c r="B14" s="89"/>
      <x:c r="C14" s="58"/>
      <x:c r="D14" s="58"/>
      <x:c r="E14" s="58"/>
      <x:c r="F14" s="91"/>
      <x:c r="G14" s="91"/>
      <x:c r="H14" s="91" t="str">
        <x:f>IF($F14="","",IFERROR(VALUE(LEFT($G14,FIND("/",$G14)-1))/100*$F14,$F14/2))</x:f>
      </x:c>
      <x:c r="I14" s="91" t="str">
        <x:f>IF($F14="","",IFERROR(VALUE(MID($G14,FIND("/",$G14)+1,99))/100*$F14,$F14/2))</x:f>
      </x:c>
      <x:c r="J14" s="58"/>
      <x:c r="K14" s="58"/>
    </x:row>
    <x:row r="15">
      <x:c r="A15" s="58" t="str">
        <x:f>IF(B15="","",ROW()-1)</x:f>
      </x:c>
      <x:c r="B15" s="89"/>
      <x:c r="C15" s="58"/>
      <x:c r="D15" s="58"/>
      <x:c r="E15" s="58"/>
      <x:c r="F15" s="91"/>
      <x:c r="G15" s="91"/>
      <x:c r="H15" s="91" t="str">
        <x:f>IF($F15="","",IFERROR(VALUE(LEFT($G15,FIND("/",$G15)-1))/100*$F15,$F15/2))</x:f>
      </x:c>
      <x:c r="I15" s="91" t="str">
        <x:f>IF($F15="","",IFERROR(VALUE(MID($G15,FIND("/",$G15)+1,99))/100*$F15,$F15/2))</x:f>
      </x:c>
      <x:c r="J15" s="58"/>
      <x:c r="K15" s="58"/>
    </x:row>
    <x:row r="16">
      <x:c r="A16" s="58" t="str">
        <x:f>IF(B16="","",ROW()-1)</x:f>
      </x:c>
      <x:c r="B16" s="89"/>
      <x:c r="C16" s="58"/>
      <x:c r="D16" s="58"/>
      <x:c r="E16" s="58"/>
      <x:c r="F16" s="91"/>
      <x:c r="G16" s="91"/>
      <x:c r="H16" s="91" t="str">
        <x:f>IF($F16="","",IFERROR(VALUE(LEFT($G16,FIND("/",$G16)-1))/100*$F16,$F16/2))</x:f>
      </x:c>
      <x:c r="I16" s="91" t="str">
        <x:f>IF($F16="","",IFERROR(VALUE(MID($G16,FIND("/",$G16)+1,99))/100*$F16,$F16/2))</x:f>
      </x:c>
      <x:c r="J16" s="58"/>
      <x:c r="K16" s="58"/>
    </x:row>
    <x:row r="17">
      <x:c r="A17" s="58" t="str">
        <x:f>IF(B17="","",ROW()-1)</x:f>
      </x:c>
      <x:c r="B17" s="89"/>
      <x:c r="C17" s="58"/>
      <x:c r="D17" s="58"/>
      <x:c r="E17" s="58"/>
      <x:c r="F17" s="91"/>
      <x:c r="G17" s="91"/>
      <x:c r="H17" s="91" t="str">
        <x:f>IF($F17="","",IFERROR(VALUE(LEFT($G17,FIND("/",$G17)-1))/100*$F17,$F17/2))</x:f>
      </x:c>
      <x:c r="I17" s="91" t="str">
        <x:f>IF($F17="","",IFERROR(VALUE(MID($G17,FIND("/",$G17)+1,99))/100*$F17,$F17/2))</x:f>
      </x:c>
      <x:c r="J17" s="58"/>
      <x:c r="K17" s="58"/>
    </x:row>
    <x:row r="18">
      <x:c r="A18" s="58" t="str">
        <x:f>IF(B18="","",ROW()-1)</x:f>
      </x:c>
      <x:c r="B18" s="89"/>
      <x:c r="C18" s="58"/>
      <x:c r="D18" s="58"/>
      <x:c r="E18" s="58"/>
      <x:c r="F18" s="91"/>
      <x:c r="G18" s="91"/>
      <x:c r="H18" s="91" t="str">
        <x:f>IF($F18="","",IFERROR(VALUE(LEFT($G18,FIND("/",$G18)-1))/100*$F18,$F18/2))</x:f>
      </x:c>
      <x:c r="I18" s="91" t="str">
        <x:f>IF($F18="","",IFERROR(VALUE(MID($G18,FIND("/",$G18)+1,99))/100*$F18,$F18/2))</x:f>
      </x:c>
      <x:c r="J18" s="58"/>
      <x:c r="K18" s="58"/>
    </x:row>
    <x:row r="19">
      <x:c r="A19" s="58" t="str">
        <x:f>IF(B19="","",ROW()-1)</x:f>
      </x:c>
      <x:c r="B19" s="89"/>
      <x:c r="C19" s="58"/>
      <x:c r="D19" s="58"/>
      <x:c r="E19" s="58"/>
      <x:c r="F19" s="91"/>
      <x:c r="G19" s="91"/>
      <x:c r="H19" s="91" t="str">
        <x:f>IF($F19="","",IFERROR(VALUE(LEFT($G19,FIND("/",$G19)-1))/100*$F19,$F19/2))</x:f>
      </x:c>
      <x:c r="I19" s="91" t="str">
        <x:f>IF($F19="","",IFERROR(VALUE(MID($G19,FIND("/",$G19)+1,99))/100*$F19,$F19/2))</x:f>
      </x:c>
      <x:c r="J19" s="58"/>
      <x:c r="K19" s="58"/>
    </x:row>
    <x:row r="20">
      <x:c r="A20" s="58" t="str">
        <x:f>IF(B20="","",ROW()-1)</x:f>
      </x:c>
      <x:c r="B20" s="89"/>
      <x:c r="C20" s="58"/>
      <x:c r="D20" s="58"/>
      <x:c r="E20" s="58"/>
      <x:c r="F20" s="91"/>
      <x:c r="G20" s="91"/>
      <x:c r="H20" s="91" t="str">
        <x:f>IF($F20="","",IFERROR(VALUE(LEFT($G20,FIND("/",$G20)-1))/100*$F20,$F20/2))</x:f>
      </x:c>
      <x:c r="I20" s="91" t="str">
        <x:f>IF($F20="","",IFERROR(VALUE(MID($G20,FIND("/",$G20)+1,99))/100*$F20,$F20/2))</x:f>
      </x:c>
      <x:c r="J20" s="58"/>
      <x:c r="K20" s="58"/>
    </x:row>
    <x:row r="21">
      <x:c r="A21" s="58" t="str">
        <x:f>IF(B21="","",ROW()-1)</x:f>
      </x:c>
      <x:c r="B21" s="89"/>
      <x:c r="C21" s="58"/>
      <x:c r="D21" s="58"/>
      <x:c r="E21" s="58"/>
      <x:c r="F21" s="91"/>
      <x:c r="G21" s="91"/>
      <x:c r="H21" s="91" t="str">
        <x:f>IF($F21="","",IFERROR(VALUE(LEFT($G21,FIND("/",$G21)-1))/100*$F21,$F21/2))</x:f>
      </x:c>
      <x:c r="I21" s="91" t="str">
        <x:f>IF($F21="","",IFERROR(VALUE(MID($G21,FIND("/",$G21)+1,99))/100*$F21,$F21/2))</x:f>
      </x:c>
      <x:c r="J21" s="58"/>
      <x:c r="K21" s="58"/>
    </x:row>
    <x:row r="22">
      <x:c r="A22" s="58" t="str">
        <x:f>IF(B22="","",ROW()-1)</x:f>
      </x:c>
      <x:c r="B22" s="89"/>
      <x:c r="C22" s="58"/>
      <x:c r="D22" s="58"/>
      <x:c r="E22" s="58"/>
      <x:c r="F22" s="91"/>
      <x:c r="G22" s="91"/>
      <x:c r="H22" s="91" t="str">
        <x:f>IF($F22="","",IFERROR(VALUE(LEFT($G22,FIND("/",$G22)-1))/100*$F22,$F22/2))</x:f>
      </x:c>
      <x:c r="I22" s="91" t="str">
        <x:f>IF($F22="","",IFERROR(VALUE(MID($G22,FIND("/",$G22)+1,99))/100*$F22,$F22/2))</x:f>
      </x:c>
      <x:c r="J22" s="58"/>
      <x:c r="K22" s="58"/>
    </x:row>
    <x:row r="23">
      <x:c r="A23" s="58" t="str">
        <x:f>IF(B23="","",ROW()-1)</x:f>
      </x:c>
      <x:c r="B23" s="89"/>
      <x:c r="C23" s="58"/>
      <x:c r="D23" s="58"/>
      <x:c r="E23" s="58"/>
      <x:c r="F23" s="91"/>
      <x:c r="G23" s="91"/>
      <x:c r="H23" s="91" t="str">
        <x:f>IF($F23="","",IFERROR(VALUE(LEFT($G23,FIND("/",$G23)-1))/100*$F23,$F23/2))</x:f>
      </x:c>
      <x:c r="I23" s="91" t="str">
        <x:f>IF($F23="","",IFERROR(VALUE(MID($G23,FIND("/",$G23)+1,99))/100*$F23,$F23/2))</x:f>
      </x:c>
      <x:c r="J23" s="58"/>
      <x:c r="K23" s="58"/>
    </x:row>
    <x:row r="24">
      <x:c r="A24" s="58" t="str">
        <x:f>IF(B24="","",ROW()-1)</x:f>
      </x:c>
      <x:c r="B24" s="89"/>
      <x:c r="C24" s="58"/>
      <x:c r="D24" s="58"/>
      <x:c r="E24" s="58"/>
      <x:c r="F24" s="91"/>
      <x:c r="G24" s="91"/>
      <x:c r="H24" s="91" t="str">
        <x:f>IF($F24="","",IFERROR(VALUE(LEFT($G24,FIND("/",$G24)-1))/100*$F24,$F24/2))</x:f>
      </x:c>
      <x:c r="I24" s="91" t="str">
        <x:f>IF($F24="","",IFERROR(VALUE(MID($G24,FIND("/",$G24)+1,99))/100*$F24,$F24/2))</x:f>
      </x:c>
      <x:c r="J24" s="58"/>
      <x:c r="K24" s="58"/>
    </x:row>
    <x:row r="25">
      <x:c r="A25" s="58" t="str">
        <x:f>IF(B25="","",ROW()-1)</x:f>
      </x:c>
      <x:c r="B25" s="89"/>
      <x:c r="C25" s="58"/>
      <x:c r="D25" s="58"/>
      <x:c r="E25" s="58"/>
      <x:c r="F25" s="91"/>
      <x:c r="G25" s="91"/>
      <x:c r="H25" s="91" t="str">
        <x:f>IF($F25="","",IFERROR(VALUE(LEFT($G25,FIND("/",$G25)-1))/100*$F25,$F25/2))</x:f>
      </x:c>
      <x:c r="I25" s="91" t="str">
        <x:f>IF($F25="","",IFERROR(VALUE(MID($G25,FIND("/",$G25)+1,99))/100*$F25,$F25/2))</x:f>
      </x:c>
      <x:c r="J25" s="58"/>
      <x:c r="K25" s="58"/>
    </x:row>
    <x:row r="26">
      <x:c r="A26" s="58" t="str">
        <x:f>IF(B26="","",ROW()-1)</x:f>
      </x:c>
      <x:c r="B26" s="89"/>
      <x:c r="C26" s="58"/>
      <x:c r="D26" s="58"/>
      <x:c r="E26" s="58"/>
      <x:c r="F26" s="91"/>
      <x:c r="G26" s="91"/>
      <x:c r="H26" s="91" t="str">
        <x:f>IF($F26="","",IFERROR(VALUE(LEFT($G26,FIND("/",$G26)-1))/100*$F26,$F26/2))</x:f>
      </x:c>
      <x:c r="I26" s="91" t="str">
        <x:f>IF($F26="","",IFERROR(VALUE(MID($G26,FIND("/",$G26)+1,99))/100*$F26,$F26/2))</x:f>
      </x:c>
      <x:c r="J26" s="58"/>
      <x:c r="K26" s="58"/>
    </x:row>
    <x:row r="27">
      <x:c r="A27" s="58" t="str">
        <x:f>IF(B27="","",ROW()-1)</x:f>
      </x:c>
      <x:c r="B27" s="89"/>
      <x:c r="C27" s="58"/>
      <x:c r="D27" s="58"/>
      <x:c r="E27" s="58"/>
      <x:c r="F27" s="91"/>
      <x:c r="G27" s="91"/>
      <x:c r="H27" s="91" t="str">
        <x:f>IF($F27="","",IFERROR(VALUE(LEFT($G27,FIND("/",$G27)-1))/100*$F27,$F27/2))</x:f>
      </x:c>
      <x:c r="I27" s="91" t="str">
        <x:f>IF($F27="","",IFERROR(VALUE(MID($G27,FIND("/",$G27)+1,99))/100*$F27,$F27/2))</x:f>
      </x:c>
      <x:c r="J27" s="58"/>
      <x:c r="K27" s="58"/>
    </x:row>
    <x:row r="28">
      <x:c r="A28" s="58" t="str">
        <x:f>IF(B28="","",ROW()-1)</x:f>
      </x:c>
      <x:c r="B28" s="89"/>
      <x:c r="C28" s="58"/>
      <x:c r="D28" s="58"/>
      <x:c r="E28" s="58"/>
      <x:c r="F28" s="91"/>
      <x:c r="G28" s="91"/>
      <x:c r="H28" s="91" t="str">
        <x:f>IF($F28="","",IFERROR(VALUE(LEFT($G28,FIND("/",$G28)-1))/100*$F28,$F28/2))</x:f>
      </x:c>
      <x:c r="I28" s="91" t="str">
        <x:f>IF($F28="","",IFERROR(VALUE(MID($G28,FIND("/",$G28)+1,99))/100*$F28,$F28/2))</x:f>
      </x:c>
      <x:c r="J28" s="58"/>
      <x:c r="K28" s="58"/>
    </x:row>
    <x:row r="29">
      <x:c r="A29" s="58" t="str">
        <x:f>IF(B29="","",ROW()-1)</x:f>
      </x:c>
      <x:c r="B29" s="89"/>
      <x:c r="C29" s="58"/>
      <x:c r="D29" s="58"/>
      <x:c r="E29" s="58"/>
      <x:c r="F29" s="91"/>
      <x:c r="G29" s="91"/>
      <x:c r="H29" s="91" t="str">
        <x:f>IF($F29="","",IFERROR(VALUE(LEFT($G29,FIND("/",$G29)-1))/100*$F29,$F29/2))</x:f>
      </x:c>
      <x:c r="I29" s="91" t="str">
        <x:f>IF($F29="","",IFERROR(VALUE(MID($G29,FIND("/",$G29)+1,99))/100*$F29,$F29/2))</x:f>
      </x:c>
      <x:c r="J29" s="58"/>
      <x:c r="K29" s="58"/>
    </x:row>
    <x:row r="30">
      <x:c r="A30" s="58" t="str">
        <x:f>IF(B30="","",ROW()-1)</x:f>
      </x:c>
      <x:c r="B30" s="89"/>
      <x:c r="C30" s="58"/>
      <x:c r="D30" s="58"/>
      <x:c r="E30" s="58"/>
      <x:c r="F30" s="91"/>
      <x:c r="G30" s="91"/>
      <x:c r="H30" s="91" t="str">
        <x:f>IF($F30="","",IFERROR(VALUE(LEFT($G30,FIND("/",$G30)-1))/100*$F30,$F30/2))</x:f>
      </x:c>
      <x:c r="I30" s="91" t="str">
        <x:f>IF($F30="","",IFERROR(VALUE(MID($G30,FIND("/",$G30)+1,99))/100*$F30,$F30/2))</x:f>
      </x:c>
      <x:c r="J30" s="58"/>
      <x:c r="K30" s="58"/>
    </x:row>
    <x:row r="31">
      <x:c r="A31" s="58" t="str">
        <x:f>IF(B31="","",ROW()-1)</x:f>
      </x:c>
      <x:c r="B31" s="89"/>
      <x:c r="C31" s="58"/>
      <x:c r="D31" s="58"/>
      <x:c r="E31" s="58"/>
      <x:c r="F31" s="91"/>
      <x:c r="G31" s="91"/>
      <x:c r="H31" s="91" t="str">
        <x:f>IF($F31="","",IFERROR(VALUE(LEFT($G31,FIND("/",$G31)-1))/100*$F31,$F31/2))</x:f>
      </x:c>
      <x:c r="I31" s="91" t="str">
        <x:f>IF($F31="","",IFERROR(VALUE(MID($G31,FIND("/",$G31)+1,99))/100*$F31,$F31/2))</x:f>
      </x:c>
      <x:c r="J31" s="58"/>
      <x:c r="K31" s="58"/>
    </x:row>
    <x:row r="32">
      <x:c r="A32" s="58" t="str">
        <x:f>IF(B32="","",ROW()-1)</x:f>
      </x:c>
      <x:c r="B32" s="89"/>
      <x:c r="C32" s="58"/>
      <x:c r="D32" s="58"/>
      <x:c r="E32" s="58"/>
      <x:c r="F32" s="91"/>
      <x:c r="G32" s="91"/>
      <x:c r="H32" s="91" t="str">
        <x:f>IF($F32="","",IFERROR(VALUE(LEFT($G32,FIND("/",$G32)-1))/100*$F32,$F32/2))</x:f>
      </x:c>
      <x:c r="I32" s="91" t="str">
        <x:f>IF($F32="","",IFERROR(VALUE(MID($G32,FIND("/",$G32)+1,99))/100*$F32,$F32/2))</x:f>
      </x:c>
      <x:c r="J32" s="58"/>
      <x:c r="K32" s="58"/>
    </x:row>
    <x:row r="33">
      <x:c r="A33" s="58" t="str">
        <x:f>IF(B33="","",ROW()-1)</x:f>
      </x:c>
      <x:c r="B33" s="89"/>
      <x:c r="C33" s="58"/>
      <x:c r="D33" s="58"/>
      <x:c r="E33" s="58"/>
      <x:c r="F33" s="91"/>
      <x:c r="G33" s="91"/>
      <x:c r="H33" s="91" t="str">
        <x:f>IF($F33="","",IFERROR(VALUE(LEFT($G33,FIND("/",$G33)-1))/100*$F33,$F33/2))</x:f>
      </x:c>
      <x:c r="I33" s="91" t="str">
        <x:f>IF($F33="","",IFERROR(VALUE(MID($G33,FIND("/",$G33)+1,99))/100*$F33,$F33/2))</x:f>
      </x:c>
      <x:c r="J33" s="58"/>
      <x:c r="K33" s="58"/>
    </x:row>
    <x:row r="34">
      <x:c r="A34" s="58" t="str">
        <x:f>IF(B34="","",ROW()-1)</x:f>
      </x:c>
      <x:c r="B34" s="89"/>
      <x:c r="C34" s="58"/>
      <x:c r="D34" s="58"/>
      <x:c r="E34" s="58"/>
      <x:c r="F34" s="91"/>
      <x:c r="G34" s="91"/>
      <x:c r="H34" s="91" t="str">
        <x:f>IF($F34="","",IFERROR(VALUE(LEFT($G34,FIND("/",$G34)-1))/100*$F34,$F34/2))</x:f>
      </x:c>
      <x:c r="I34" s="91" t="str">
        <x:f>IF($F34="","",IFERROR(VALUE(MID($G34,FIND("/",$G34)+1,99))/100*$F34,$F34/2))</x:f>
      </x:c>
      <x:c r="J34" s="58"/>
      <x:c r="K34" s="58"/>
    </x:row>
    <x:row r="35">
      <x:c r="A35" s="58" t="str">
        <x:f>IF(B35="","",ROW()-1)</x:f>
      </x:c>
      <x:c r="B35" s="89"/>
      <x:c r="C35" s="58"/>
      <x:c r="D35" s="58"/>
      <x:c r="E35" s="58"/>
      <x:c r="F35" s="91"/>
      <x:c r="G35" s="91"/>
      <x:c r="H35" s="91" t="str">
        <x:f>IF($F35="","",IFERROR(VALUE(LEFT($G35,FIND("/",$G35)-1))/100*$F35,$F35/2))</x:f>
      </x:c>
      <x:c r="I35" s="91" t="str">
        <x:f>IF($F35="","",IFERROR(VALUE(MID($G35,FIND("/",$G35)+1,99))/100*$F35,$F35/2))</x:f>
      </x:c>
      <x:c r="J35" s="58"/>
      <x:c r="K35" s="58"/>
    </x:row>
    <x:row r="36">
      <x:c r="A36" s="58" t="str">
        <x:f>IF(B36="","",ROW()-1)</x:f>
      </x:c>
      <x:c r="B36" s="89"/>
      <x:c r="C36" s="58"/>
      <x:c r="D36" s="58"/>
      <x:c r="E36" s="58"/>
      <x:c r="F36" s="91"/>
      <x:c r="G36" s="91"/>
      <x:c r="H36" s="91" t="str">
        <x:f>IF($F36="","",IFERROR(VALUE(LEFT($G36,FIND("/",$G36)-1))/100*$F36,$F36/2))</x:f>
      </x:c>
      <x:c r="I36" s="91" t="str">
        <x:f>IF($F36="","",IFERROR(VALUE(MID($G36,FIND("/",$G36)+1,99))/100*$F36,$F36/2))</x:f>
      </x:c>
      <x:c r="J36" s="58"/>
      <x:c r="K36" s="58"/>
    </x:row>
    <x:row r="37">
      <x:c r="A37" s="58" t="str">
        <x:f>IF(B37="","",ROW()-1)</x:f>
      </x:c>
      <x:c r="B37" s="89"/>
      <x:c r="C37" s="58"/>
      <x:c r="D37" s="58"/>
      <x:c r="E37" s="58"/>
      <x:c r="F37" s="91"/>
      <x:c r="G37" s="91"/>
      <x:c r="H37" s="91" t="str">
        <x:f>IF($F37="","",IFERROR(VALUE(LEFT($G37,FIND("/",$G37)-1))/100*$F37,$F37/2))</x:f>
      </x:c>
      <x:c r="I37" s="91" t="str">
        <x:f>IF($F37="","",IFERROR(VALUE(MID($G37,FIND("/",$G37)+1,99))/100*$F37,$F37/2))</x:f>
      </x:c>
      <x:c r="J37" s="58"/>
      <x:c r="K37" s="58"/>
    </x:row>
    <x:row r="38">
      <x:c r="A38" s="58" t="str">
        <x:f>IF(B38="","",ROW()-1)</x:f>
      </x:c>
      <x:c r="B38" s="89"/>
      <x:c r="C38" s="58"/>
      <x:c r="D38" s="58"/>
      <x:c r="E38" s="58"/>
      <x:c r="F38" s="91"/>
      <x:c r="G38" s="91"/>
      <x:c r="H38" s="91" t="str">
        <x:f>IF($F38="","",IFERROR(VALUE(LEFT($G38,FIND("/",$G38)-1))/100*$F38,$F38/2))</x:f>
      </x:c>
      <x:c r="I38" s="91" t="str">
        <x:f>IF($F38="","",IFERROR(VALUE(MID($G38,FIND("/",$G38)+1,99))/100*$F38,$F38/2))</x:f>
      </x:c>
      <x:c r="J38" s="58"/>
      <x:c r="K38" s="58"/>
    </x:row>
    <x:row r="39">
      <x:c r="A39" s="58" t="str">
        <x:f>IF(B39="","",ROW()-1)</x:f>
      </x:c>
      <x:c r="B39" s="89"/>
      <x:c r="C39" s="58"/>
      <x:c r="D39" s="58"/>
      <x:c r="E39" s="58"/>
      <x:c r="F39" s="91"/>
      <x:c r="G39" s="91"/>
      <x:c r="H39" s="91" t="str">
        <x:f>IF($F39="","",IFERROR(VALUE(LEFT($G39,FIND("/",$G39)-1))/100*$F39,$F39/2))</x:f>
      </x:c>
      <x:c r="I39" s="91" t="str">
        <x:f>IF($F39="","",IFERROR(VALUE(MID($G39,FIND("/",$G39)+1,99))/100*$F39,$F39/2))</x:f>
      </x:c>
      <x:c r="J39" s="58"/>
      <x:c r="K39" s="58"/>
    </x:row>
    <x:row r="40">
      <x:c r="A40" s="58" t="str">
        <x:f>IF(B40="","",ROW()-1)</x:f>
      </x:c>
      <x:c r="B40" s="89"/>
      <x:c r="C40" s="58"/>
      <x:c r="D40" s="58"/>
      <x:c r="E40" s="58"/>
      <x:c r="F40" s="91"/>
      <x:c r="G40" s="91"/>
      <x:c r="H40" s="91" t="str">
        <x:f>IF($F40="","",IFERROR(VALUE(LEFT($G40,FIND("/",$G40)-1))/100*$F40,$F40/2))</x:f>
      </x:c>
      <x:c r="I40" s="91" t="str">
        <x:f>IF($F40="","",IFERROR(VALUE(MID($G40,FIND("/",$G40)+1,99))/100*$F40,$F40/2))</x:f>
      </x:c>
      <x:c r="J40" s="58"/>
      <x:c r="K40" s="58"/>
    </x:row>
    <x:row r="41">
      <x:c r="A41" s="58" t="str">
        <x:f>IF(B41="","",ROW()-1)</x:f>
      </x:c>
      <x:c r="B41" s="89"/>
      <x:c r="C41" s="58"/>
      <x:c r="D41" s="58"/>
      <x:c r="E41" s="58"/>
      <x:c r="F41" s="91"/>
      <x:c r="G41" s="91"/>
      <x:c r="H41" s="91" t="str">
        <x:f>IF($F41="","",IFERROR(VALUE(LEFT($G41,FIND("/",$G41)-1))/100*$F41,$F41/2))</x:f>
      </x:c>
      <x:c r="I41" s="91" t="str">
        <x:f>IF($F41="","",IFERROR(VALUE(MID($G41,FIND("/",$G41)+1,99))/100*$F41,$F41/2))</x:f>
      </x:c>
      <x:c r="J41" s="58"/>
      <x:c r="K41" s="58"/>
    </x:row>
    <x:row r="42">
      <x:c r="A42" s="58" t="str">
        <x:f>IF(B42="","",ROW()-1)</x:f>
      </x:c>
      <x:c r="B42" s="89"/>
      <x:c r="C42" s="58"/>
      <x:c r="D42" s="58"/>
      <x:c r="E42" s="58"/>
      <x:c r="F42" s="91"/>
      <x:c r="G42" s="91"/>
      <x:c r="H42" s="91" t="str">
        <x:f>IF($F42="","",IFERROR(VALUE(LEFT($G42,FIND("/",$G42)-1))/100*$F42,$F42/2))</x:f>
      </x:c>
      <x:c r="I42" s="91" t="str">
        <x:f>IF($F42="","",IFERROR(VALUE(MID($G42,FIND("/",$G42)+1,99))/100*$F42,$F42/2))</x:f>
      </x:c>
      <x:c r="J42" s="58"/>
      <x:c r="K42" s="58"/>
    </x:row>
    <x:row r="43">
      <x:c r="A43" s="58" t="str">
        <x:f>IF(B43="","",ROW()-1)</x:f>
      </x:c>
      <x:c r="B43" s="89"/>
      <x:c r="C43" s="58"/>
      <x:c r="D43" s="58"/>
      <x:c r="E43" s="58"/>
      <x:c r="F43" s="91"/>
      <x:c r="G43" s="91"/>
      <x:c r="H43" s="91" t="str">
        <x:f>IF($F43="","",IFERROR(VALUE(LEFT($G43,FIND("/",$G43)-1))/100*$F43,$F43/2))</x:f>
      </x:c>
      <x:c r="I43" s="91" t="str">
        <x:f>IF($F43="","",IFERROR(VALUE(MID($G43,FIND("/",$G43)+1,99))/100*$F43,$F43/2))</x:f>
      </x:c>
      <x:c r="J43" s="58"/>
      <x:c r="K43" s="58"/>
    </x:row>
    <x:row r="44">
      <x:c r="A44" s="58" t="str">
        <x:f>IF(B44="","",ROW()-1)</x:f>
      </x:c>
      <x:c r="B44" s="89"/>
      <x:c r="C44" s="58"/>
      <x:c r="D44" s="58"/>
      <x:c r="E44" s="58"/>
      <x:c r="F44" s="91"/>
      <x:c r="G44" s="91"/>
      <x:c r="H44" s="91" t="str">
        <x:f>IF($F44="","",IFERROR(VALUE(LEFT($G44,FIND("/",$G44)-1))/100*$F44,$F44/2))</x:f>
      </x:c>
      <x:c r="I44" s="91" t="str">
        <x:f>IF($F44="","",IFERROR(VALUE(MID($G44,FIND("/",$G44)+1,99))/100*$F44,$F44/2))</x:f>
      </x:c>
      <x:c r="J44" s="58"/>
      <x:c r="K44" s="58"/>
    </x:row>
    <x:row r="45">
      <x:c r="A45" s="58" t="str">
        <x:f>IF(B45="","",ROW()-1)</x:f>
      </x:c>
      <x:c r="B45" s="89"/>
      <x:c r="C45" s="58"/>
      <x:c r="D45" s="58"/>
      <x:c r="E45" s="58"/>
      <x:c r="F45" s="91"/>
      <x:c r="G45" s="91"/>
      <x:c r="H45" s="91" t="str">
        <x:f>IF($F45="","",IFERROR(VALUE(LEFT($G45,FIND("/",$G45)-1))/100*$F45,$F45/2))</x:f>
      </x:c>
      <x:c r="I45" s="91" t="str">
        <x:f>IF($F45="","",IFERROR(VALUE(MID($G45,FIND("/",$G45)+1,99))/100*$F45,$F45/2))</x:f>
      </x:c>
      <x:c r="J45" s="58"/>
      <x:c r="K45" s="58"/>
    </x:row>
    <x:row r="46">
      <x:c r="A46" s="58" t="str">
        <x:f>IF(B46="","",ROW()-1)</x:f>
      </x:c>
      <x:c r="B46" s="89"/>
      <x:c r="C46" s="58"/>
      <x:c r="D46" s="58"/>
      <x:c r="E46" s="58"/>
      <x:c r="F46" s="91"/>
      <x:c r="G46" s="91"/>
      <x:c r="H46" s="91" t="str">
        <x:f>IF($F46="","",IFERROR(VALUE(LEFT($G46,FIND("/",$G46)-1))/100*$F46,$F46/2))</x:f>
      </x:c>
      <x:c r="I46" s="91" t="str">
        <x:f>IF($F46="","",IFERROR(VALUE(MID($G46,FIND("/",$G46)+1,99))/100*$F46,$F46/2))</x:f>
      </x:c>
      <x:c r="J46" s="58"/>
      <x:c r="K46" s="58"/>
    </x:row>
    <x:row r="47">
      <x:c r="A47" s="58" t="str">
        <x:f>IF(B47="","",ROW()-1)</x:f>
      </x:c>
      <x:c r="B47" s="89"/>
      <x:c r="C47" s="58"/>
      <x:c r="D47" s="58"/>
      <x:c r="E47" s="58"/>
      <x:c r="F47" s="91"/>
      <x:c r="G47" s="91"/>
      <x:c r="H47" s="91" t="str">
        <x:f>IF($F47="","",IFERROR(VALUE(LEFT($G47,FIND("/",$G47)-1))/100*$F47,$F47/2))</x:f>
      </x:c>
      <x:c r="I47" s="91" t="str">
        <x:f>IF($F47="","",IFERROR(VALUE(MID($G47,FIND("/",$G47)+1,99))/100*$F47,$F47/2))</x:f>
      </x:c>
      <x:c r="J47" s="58"/>
      <x:c r="K47" s="58"/>
    </x:row>
    <x:row r="48">
      <x:c r="A48" s="58" t="str">
        <x:f>IF(B48="","",ROW()-1)</x:f>
      </x:c>
      <x:c r="B48" s="89"/>
      <x:c r="C48" s="58"/>
      <x:c r="D48" s="58"/>
      <x:c r="E48" s="58"/>
      <x:c r="F48" s="91"/>
      <x:c r="G48" s="91"/>
      <x:c r="H48" s="91" t="str">
        <x:f>IF($F48="","",IFERROR(VALUE(LEFT($G48,FIND("/",$G48)-1))/100*$F48,$F48/2))</x:f>
      </x:c>
      <x:c r="I48" s="91" t="str">
        <x:f>IF($F48="","",IFERROR(VALUE(MID($G48,FIND("/",$G48)+1,99))/100*$F48,$F48/2))</x:f>
      </x:c>
      <x:c r="J48" s="58"/>
      <x:c r="K48" s="58"/>
    </x:row>
    <x:row r="49">
      <x:c r="A49" s="58" t="str">
        <x:f>IF(B49="","",ROW()-1)</x:f>
      </x:c>
      <x:c r="B49" s="89"/>
      <x:c r="C49" s="58"/>
      <x:c r="D49" s="58"/>
      <x:c r="E49" s="58"/>
      <x:c r="F49" s="91"/>
      <x:c r="G49" s="91"/>
      <x:c r="H49" s="91" t="str">
        <x:f>IF($F49="","",IFERROR(VALUE(LEFT($G49,FIND("/",$G49)-1))/100*$F49,$F49/2))</x:f>
      </x:c>
      <x:c r="I49" s="91" t="str">
        <x:f>IF($F49="","",IFERROR(VALUE(MID($G49,FIND("/",$G49)+1,99))/100*$F49,$F49/2))</x:f>
      </x:c>
      <x:c r="J49" s="58"/>
      <x:c r="K49" s="58"/>
    </x:row>
    <x:row r="50">
      <x:c r="A50" s="58" t="str">
        <x:f>IF(B50="","",ROW()-1)</x:f>
      </x:c>
      <x:c r="B50" s="89"/>
      <x:c r="C50" s="58"/>
      <x:c r="D50" s="58"/>
      <x:c r="E50" s="58"/>
      <x:c r="F50" s="91"/>
      <x:c r="G50" s="91"/>
      <x:c r="H50" s="91" t="str">
        <x:f>IF($F50="","",IFERROR(VALUE(LEFT($G50,FIND("/",$G50)-1))/100*$F50,$F50/2))</x:f>
      </x:c>
      <x:c r="I50" s="91" t="str">
        <x:f>IF($F50="","",IFERROR(VALUE(MID($G50,FIND("/",$G50)+1,99))/100*$F50,$F50/2))</x:f>
      </x:c>
      <x:c r="J50" s="58"/>
      <x:c r="K50" s="58"/>
    </x:row>
    <x:row r="51">
      <x:c r="A51" s="58" t="str">
        <x:f>IF(B51="","",ROW()-1)</x:f>
      </x:c>
      <x:c r="B51" s="89"/>
      <x:c r="C51" s="58"/>
      <x:c r="D51" s="58"/>
      <x:c r="E51" s="58"/>
      <x:c r="F51" s="91"/>
      <x:c r="G51" s="91"/>
      <x:c r="H51" s="91" t="str">
        <x:f>IF($F51="","",IFERROR(VALUE(LEFT($G51,FIND("/",$G51)-1))/100*$F51,$F51/2))</x:f>
      </x:c>
      <x:c r="I51" s="91" t="str">
        <x:f>IF($F51="","",IFERROR(VALUE(MID($G51,FIND("/",$G51)+1,99))/100*$F51,$F51/2))</x:f>
      </x:c>
      <x:c r="J51" s="58"/>
      <x:c r="K51" s="58"/>
    </x:row>
    <x:row r="52">
      <x:c r="A52" s="58" t="str">
        <x:f>IF(B52="","",ROW()-1)</x:f>
      </x:c>
      <x:c r="B52" s="89"/>
      <x:c r="C52" s="58"/>
      <x:c r="D52" s="58"/>
      <x:c r="E52" s="58"/>
      <x:c r="F52" s="91"/>
      <x:c r="G52" s="91"/>
      <x:c r="H52" s="91" t="str">
        <x:f>IF($F52="","",IFERROR(VALUE(LEFT($G52,FIND("/",$G52)-1))/100*$F52,$F52/2))</x:f>
      </x:c>
      <x:c r="I52" s="91" t="str">
        <x:f>IF($F52="","",IFERROR(VALUE(MID($G52,FIND("/",$G52)+1,99))/100*$F52,$F52/2))</x:f>
      </x:c>
      <x:c r="J52" s="58"/>
      <x:c r="K52" s="58"/>
    </x:row>
    <x:row r="53">
      <x:c r="A53" s="58" t="str">
        <x:f>IF(B53="","",ROW()-1)</x:f>
      </x:c>
      <x:c r="B53" s="89"/>
      <x:c r="C53" s="58"/>
      <x:c r="D53" s="58"/>
      <x:c r="E53" s="58"/>
      <x:c r="F53" s="91"/>
      <x:c r="G53" s="91"/>
      <x:c r="H53" s="91" t="str">
        <x:f>IF($F53="","",IFERROR(VALUE(LEFT($G53,FIND("/",$G53)-1))/100*$F53,$F53/2))</x:f>
      </x:c>
      <x:c r="I53" s="91" t="str">
        <x:f>IF($F53="","",IFERROR(VALUE(MID($G53,FIND("/",$G53)+1,99))/100*$F53,$F53/2))</x:f>
      </x:c>
      <x:c r="J53" s="58"/>
      <x:c r="K53" s="58"/>
    </x:row>
    <x:row r="54">
      <x:c r="A54" s="58" t="str">
        <x:f>IF(B54="","",ROW()-1)</x:f>
      </x:c>
      <x:c r="B54" s="89"/>
      <x:c r="C54" s="58"/>
      <x:c r="D54" s="58"/>
      <x:c r="E54" s="58"/>
      <x:c r="F54" s="91"/>
      <x:c r="G54" s="91"/>
      <x:c r="H54" s="91" t="str">
        <x:f>IF($F54="","",IFERROR(VALUE(LEFT($G54,FIND("/",$G54)-1))/100*$F54,$F54/2))</x:f>
      </x:c>
      <x:c r="I54" s="91" t="str">
        <x:f>IF($F54="","",IFERROR(VALUE(MID($G54,FIND("/",$G54)+1,99))/100*$F54,$F54/2))</x:f>
      </x:c>
      <x:c r="J54" s="58"/>
      <x:c r="K54" s="58"/>
    </x:row>
    <x:row r="55">
      <x:c r="A55" s="58" t="str">
        <x:f>IF(B55="","",ROW()-1)</x:f>
      </x:c>
      <x:c r="B55" s="89"/>
      <x:c r="C55" s="58"/>
      <x:c r="D55" s="58"/>
      <x:c r="E55" s="58"/>
      <x:c r="F55" s="91"/>
      <x:c r="G55" s="91"/>
      <x:c r="H55" s="91" t="str">
        <x:f>IF($F55="","",IFERROR(VALUE(LEFT($G55,FIND("/",$G55)-1))/100*$F55,$F55/2))</x:f>
      </x:c>
      <x:c r="I55" s="91" t="str">
        <x:f>IF($F55="","",IFERROR(VALUE(MID($G55,FIND("/",$G55)+1,99))/100*$F55,$F55/2))</x:f>
      </x:c>
      <x:c r="J55" s="58"/>
      <x:c r="K55" s="58"/>
    </x:row>
    <x:row r="56">
      <x:c r="A56" s="58" t="str">
        <x:f>IF(B56="","",ROW()-1)</x:f>
      </x:c>
      <x:c r="B56" s="89"/>
      <x:c r="C56" s="58"/>
      <x:c r="D56" s="58"/>
      <x:c r="E56" s="58"/>
      <x:c r="F56" s="91"/>
      <x:c r="G56" s="91"/>
      <x:c r="H56" s="91" t="str">
        <x:f>IF($F56="","",IFERROR(VALUE(LEFT($G56,FIND("/",$G56)-1))/100*$F56,$F56/2))</x:f>
      </x:c>
      <x:c r="I56" s="91" t="str">
        <x:f>IF($F56="","",IFERROR(VALUE(MID($G56,FIND("/",$G56)+1,99))/100*$F56,$F56/2))</x:f>
      </x:c>
      <x:c r="J56" s="58"/>
      <x:c r="K56" s="58"/>
    </x:row>
    <x:row r="57">
      <x:c r="A57" s="58" t="str">
        <x:f>IF(B57="","",ROW()-1)</x:f>
      </x:c>
      <x:c r="B57" s="89"/>
      <x:c r="C57" s="58"/>
      <x:c r="D57" s="58"/>
      <x:c r="E57" s="58"/>
      <x:c r="F57" s="91"/>
      <x:c r="G57" s="91"/>
      <x:c r="H57" s="91" t="str">
        <x:f>IF($F57="","",IFERROR(VALUE(LEFT($G57,FIND("/",$G57)-1))/100*$F57,$F57/2))</x:f>
      </x:c>
      <x:c r="I57" s="91" t="str">
        <x:f>IF($F57="","",IFERROR(VALUE(MID($G57,FIND("/",$G57)+1,99))/100*$F57,$F57/2))</x:f>
      </x:c>
      <x:c r="J57" s="58"/>
      <x:c r="K57" s="58"/>
    </x:row>
    <x:row r="58">
      <x:c r="A58" s="58" t="str">
        <x:f>IF(B58="","",ROW()-1)</x:f>
      </x:c>
      <x:c r="B58" s="89"/>
      <x:c r="C58" s="58"/>
      <x:c r="D58" s="58"/>
      <x:c r="E58" s="58"/>
      <x:c r="F58" s="91"/>
      <x:c r="G58" s="91"/>
      <x:c r="H58" s="91" t="str">
        <x:f>IF($F58="","",IFERROR(VALUE(LEFT($G58,FIND("/",$G58)-1))/100*$F58,$F58/2))</x:f>
      </x:c>
      <x:c r="I58" s="91" t="str">
        <x:f>IF($F58="","",IFERROR(VALUE(MID($G58,FIND("/",$G58)+1,99))/100*$F58,$F58/2))</x:f>
      </x:c>
      <x:c r="J58" s="58"/>
      <x:c r="K58" s="58"/>
    </x:row>
    <x:row r="59">
      <x:c r="A59" s="58" t="str">
        <x:f>IF(B59="","",ROW()-1)</x:f>
      </x:c>
      <x:c r="B59" s="89"/>
      <x:c r="C59" s="58"/>
      <x:c r="D59" s="58"/>
      <x:c r="E59" s="58"/>
      <x:c r="F59" s="91"/>
      <x:c r="G59" s="91"/>
      <x:c r="H59" s="91" t="str">
        <x:f>IF($F59="","",IFERROR(VALUE(LEFT($G59,FIND("/",$G59)-1))/100*$F59,$F59/2))</x:f>
      </x:c>
      <x:c r="I59" s="91" t="str">
        <x:f>IF($F59="","",IFERROR(VALUE(MID($G59,FIND("/",$G59)+1,99))/100*$F59,$F59/2))</x:f>
      </x:c>
      <x:c r="J59" s="58"/>
      <x:c r="K59" s="58"/>
    </x:row>
    <x:row r="60">
      <x:c r="A60" s="58" t="str">
        <x:f>IF(B60="","",ROW()-1)</x:f>
      </x:c>
      <x:c r="B60" s="89"/>
      <x:c r="C60" s="58"/>
      <x:c r="D60" s="58"/>
      <x:c r="E60" s="58"/>
      <x:c r="F60" s="91"/>
      <x:c r="G60" s="91"/>
      <x:c r="H60" s="91" t="str">
        <x:f>IF($F60="","",IFERROR(VALUE(LEFT($G60,FIND("/",$G60)-1))/100*$F60,$F60/2))</x:f>
      </x:c>
      <x:c r="I60" s="91" t="str">
        <x:f>IF($F60="","",IFERROR(VALUE(MID($G60,FIND("/",$G60)+1,99))/100*$F60,$F60/2))</x:f>
      </x:c>
      <x:c r="J60" s="58"/>
      <x:c r="K60" s="58"/>
    </x:row>
    <x:row r="61">
      <x:c r="A61" s="58" t="str">
        <x:f>IF(B61="","",ROW()-1)</x:f>
      </x:c>
      <x:c r="B61" s="89"/>
      <x:c r="C61" s="58"/>
      <x:c r="D61" s="58"/>
      <x:c r="E61" s="58"/>
      <x:c r="F61" s="91"/>
      <x:c r="G61" s="91"/>
      <x:c r="H61" s="91" t="str">
        <x:f>IF($F61="","",IFERROR(VALUE(LEFT($G61,FIND("/",$G61)-1))/100*$F61,$F61/2))</x:f>
      </x:c>
      <x:c r="I61" s="91" t="str">
        <x:f>IF($F61="","",IFERROR(VALUE(MID($G61,FIND("/",$G61)+1,99))/100*$F61,$F61/2))</x:f>
      </x:c>
      <x:c r="J61" s="58"/>
      <x:c r="K61" s="58"/>
    </x:row>
    <x:row r="62">
      <x:c r="A62" s="58" t="str">
        <x:f>IF(B62="","",ROW()-1)</x:f>
      </x:c>
      <x:c r="B62" s="89"/>
      <x:c r="C62" s="58"/>
      <x:c r="D62" s="58"/>
      <x:c r="E62" s="58"/>
      <x:c r="F62" s="91"/>
      <x:c r="G62" s="91"/>
      <x:c r="H62" s="91" t="str">
        <x:f>IF($F62="","",IFERROR(VALUE(LEFT($G62,FIND("/",$G62)-1))/100*$F62,$F62/2))</x:f>
      </x:c>
      <x:c r="I62" s="91" t="str">
        <x:f>IF($F62="","",IFERROR(VALUE(MID($G62,FIND("/",$G62)+1,99))/100*$F62,$F62/2))</x:f>
      </x:c>
      <x:c r="J62" s="58"/>
      <x:c r="K62" s="58"/>
    </x:row>
    <x:row r="63">
      <x:c r="A63" s="58" t="str">
        <x:f>IF(B63="","",ROW()-1)</x:f>
      </x:c>
      <x:c r="B63" s="89"/>
      <x:c r="C63" s="58"/>
      <x:c r="D63" s="58"/>
      <x:c r="E63" s="58"/>
      <x:c r="F63" s="91"/>
      <x:c r="G63" s="91"/>
      <x:c r="H63" s="91" t="str">
        <x:f>IF($F63="","",IFERROR(VALUE(LEFT($G63,FIND("/",$G63)-1))/100*$F63,$F63/2))</x:f>
      </x:c>
      <x:c r="I63" s="91" t="str">
        <x:f>IF($F63="","",IFERROR(VALUE(MID($G63,FIND("/",$G63)+1,99))/100*$F63,$F63/2))</x:f>
      </x:c>
      <x:c r="J63" s="58"/>
      <x:c r="K63" s="58"/>
    </x:row>
    <x:row r="64">
      <x:c r="A64" s="58" t="str">
        <x:f>IF(B64="","",ROW()-1)</x:f>
      </x:c>
      <x:c r="B64" s="89"/>
      <x:c r="C64" s="58"/>
      <x:c r="D64" s="58"/>
      <x:c r="E64" s="58"/>
      <x:c r="F64" s="91"/>
      <x:c r="G64" s="91"/>
      <x:c r="H64" s="91" t="str">
        <x:f>IF($F64="","",IFERROR(VALUE(LEFT($G64,FIND("/",$G64)-1))/100*$F64,$F64/2))</x:f>
      </x:c>
      <x:c r="I64" s="91" t="str">
        <x:f>IF($F64="","",IFERROR(VALUE(MID($G64,FIND("/",$G64)+1,99))/100*$F64,$F64/2))</x:f>
      </x:c>
      <x:c r="J64" s="58"/>
      <x:c r="K64" s="58"/>
    </x:row>
    <x:row r="65">
      <x:c r="A65" s="58" t="str">
        <x:f>IF(B65="","",ROW()-1)</x:f>
      </x:c>
      <x:c r="B65" s="89"/>
      <x:c r="C65" s="58"/>
      <x:c r="D65" s="58"/>
      <x:c r="E65" s="58"/>
      <x:c r="F65" s="91"/>
      <x:c r="G65" s="91"/>
      <x:c r="H65" s="91" t="str">
        <x:f>IF($F65="","",IFERROR(VALUE(LEFT($G65,FIND("/",$G65)-1))/100*$F65,$F65/2))</x:f>
      </x:c>
      <x:c r="I65" s="91" t="str">
        <x:f>IF($F65="","",IFERROR(VALUE(MID($G65,FIND("/",$G65)+1,99))/100*$F65,$F65/2))</x:f>
      </x:c>
      <x:c r="J65" s="58"/>
      <x:c r="K65" s="58"/>
    </x:row>
    <x:row r="66">
      <x:c r="A66" s="58" t="str">
        <x:f>IF(B66="","",ROW()-1)</x:f>
      </x:c>
      <x:c r="B66" s="89"/>
      <x:c r="C66" s="58"/>
      <x:c r="D66" s="58"/>
      <x:c r="E66" s="58"/>
      <x:c r="F66" s="91"/>
      <x:c r="G66" s="91"/>
      <x:c r="H66" s="91" t="str">
        <x:f>IF($F66="","",IFERROR(VALUE(LEFT($G66,FIND("/",$G66)-1))/100*$F66,$F66/2))</x:f>
      </x:c>
      <x:c r="I66" s="91" t="str">
        <x:f>IF($F66="","",IFERROR(VALUE(MID($G66,FIND("/",$G66)+1,99))/100*$F66,$F66/2))</x:f>
      </x:c>
      <x:c r="J66" s="58"/>
      <x:c r="K66" s="58"/>
    </x:row>
    <x:row r="67">
      <x:c r="A67" s="58" t="str">
        <x:f>IF(B67="","",ROW()-1)</x:f>
      </x:c>
      <x:c r="B67" s="89"/>
      <x:c r="C67" s="58"/>
      <x:c r="D67" s="58"/>
      <x:c r="E67" s="58"/>
      <x:c r="F67" s="91"/>
      <x:c r="G67" s="91"/>
      <x:c r="H67" s="91" t="str">
        <x:f>IF($F67="","",IFERROR(VALUE(LEFT($G67,FIND("/",$G67)-1))/100*$F67,$F67/2))</x:f>
      </x:c>
      <x:c r="I67" s="91" t="str">
        <x:f>IF($F67="","",IFERROR(VALUE(MID($G67,FIND("/",$G67)+1,99))/100*$F67,$F67/2))</x:f>
      </x:c>
      <x:c r="J67" s="58"/>
      <x:c r="K67" s="58"/>
    </x:row>
    <x:row r="68">
      <x:c r="A68" s="58" t="str">
        <x:f>IF(B68="","",ROW()-1)</x:f>
      </x:c>
      <x:c r="B68" s="89"/>
      <x:c r="C68" s="58"/>
      <x:c r="D68" s="58"/>
      <x:c r="E68" s="58"/>
      <x:c r="F68" s="91"/>
      <x:c r="G68" s="91"/>
      <x:c r="H68" s="91" t="str">
        <x:f>IF($F68="","",IFERROR(VALUE(LEFT($G68,FIND("/",$G68)-1))/100*$F68,$F68/2))</x:f>
      </x:c>
      <x:c r="I68" s="91" t="str">
        <x:f>IF($F68="","",IFERROR(VALUE(MID($G68,FIND("/",$G68)+1,99))/100*$F68,$F68/2))</x:f>
      </x:c>
      <x:c r="J68" s="58"/>
      <x:c r="K68" s="58"/>
    </x:row>
    <x:row r="69">
      <x:c r="A69" s="58" t="str">
        <x:f>IF(B69="","",ROW()-1)</x:f>
      </x:c>
      <x:c r="B69" s="89"/>
      <x:c r="C69" s="58"/>
      <x:c r="D69" s="58"/>
      <x:c r="E69" s="58"/>
      <x:c r="F69" s="91"/>
      <x:c r="G69" s="91"/>
      <x:c r="H69" s="91" t="str">
        <x:f>IF($F69="","",IFERROR(VALUE(LEFT($G69,FIND("/",$G69)-1))/100*$F69,$F69/2))</x:f>
      </x:c>
      <x:c r="I69" s="91" t="str">
        <x:f>IF($F69="","",IFERROR(VALUE(MID($G69,FIND("/",$G69)+1,99))/100*$F69,$F69/2))</x:f>
      </x:c>
      <x:c r="J69" s="58"/>
      <x:c r="K69" s="58"/>
    </x:row>
    <x:row r="70">
      <x:c r="A70" s="58" t="str">
        <x:f>IF(B70="","",ROW()-1)</x:f>
      </x:c>
      <x:c r="B70" s="89"/>
      <x:c r="C70" s="58"/>
      <x:c r="D70" s="58"/>
      <x:c r="E70" s="58"/>
      <x:c r="F70" s="91"/>
      <x:c r="G70" s="91"/>
      <x:c r="H70" s="91" t="str">
        <x:f>IF($F70="","",IFERROR(VALUE(LEFT($G70,FIND("/",$G70)-1))/100*$F70,$F70/2))</x:f>
      </x:c>
      <x:c r="I70" s="91" t="str">
        <x:f>IF($F70="","",IFERROR(VALUE(MID($G70,FIND("/",$G70)+1,99))/100*$F70,$F70/2))</x:f>
      </x:c>
      <x:c r="J70" s="58"/>
      <x:c r="K70" s="58"/>
    </x:row>
    <x:row r="71">
      <x:c r="A71" s="58" t="str">
        <x:f>IF(B71="","",ROW()-1)</x:f>
      </x:c>
      <x:c r="B71" s="89"/>
      <x:c r="C71" s="58"/>
      <x:c r="D71" s="58"/>
      <x:c r="E71" s="58"/>
      <x:c r="F71" s="91"/>
      <x:c r="G71" s="91"/>
      <x:c r="H71" s="91" t="str">
        <x:f>IF($F71="","",IFERROR(VALUE(LEFT($G71,FIND("/",$G71)-1))/100*$F71,$F71/2))</x:f>
      </x:c>
      <x:c r="I71" s="91" t="str">
        <x:f>IF($F71="","",IFERROR(VALUE(MID($G71,FIND("/",$G71)+1,99))/100*$F71,$F71/2))</x:f>
      </x:c>
      <x:c r="J71" s="58"/>
      <x:c r="K71" s="58"/>
    </x:row>
    <x:row r="72">
      <x:c r="A72" s="58" t="str">
        <x:f>IF(B72="","",ROW()-1)</x:f>
      </x:c>
      <x:c r="B72" s="89"/>
      <x:c r="C72" s="58"/>
      <x:c r="D72" s="58"/>
      <x:c r="E72" s="58"/>
      <x:c r="F72" s="91"/>
      <x:c r="G72" s="91"/>
      <x:c r="H72" s="91" t="str">
        <x:f>IF($F72="","",IFERROR(VALUE(LEFT($G72,FIND("/",$G72)-1))/100*$F72,$F72/2))</x:f>
      </x:c>
      <x:c r="I72" s="91" t="str">
        <x:f>IF($F72="","",IFERROR(VALUE(MID($G72,FIND("/",$G72)+1,99))/100*$F72,$F72/2))</x:f>
      </x:c>
      <x:c r="J72" s="58"/>
      <x:c r="K72" s="58"/>
    </x:row>
    <x:row r="73">
      <x:c r="A73" s="58" t="str">
        <x:f>IF(B73="","",ROW()-1)</x:f>
      </x:c>
      <x:c r="B73" s="89"/>
      <x:c r="C73" s="58"/>
      <x:c r="D73" s="58"/>
      <x:c r="E73" s="58"/>
      <x:c r="F73" s="91"/>
      <x:c r="G73" s="91"/>
      <x:c r="H73" s="91" t="str">
        <x:f>IF($F73="","",IFERROR(VALUE(LEFT($G73,FIND("/",$G73)-1))/100*$F73,$F73/2))</x:f>
      </x:c>
      <x:c r="I73" s="91" t="str">
        <x:f>IF($F73="","",IFERROR(VALUE(MID($G73,FIND("/",$G73)+1,99))/100*$F73,$F73/2))</x:f>
      </x:c>
      <x:c r="J73" s="58"/>
      <x:c r="K73" s="58"/>
    </x:row>
    <x:row r="74">
      <x:c r="A74" s="58" t="str">
        <x:f>IF(B74="","",ROW()-1)</x:f>
      </x:c>
      <x:c r="B74" s="89"/>
      <x:c r="C74" s="58"/>
      <x:c r="D74" s="58"/>
      <x:c r="E74" s="58"/>
      <x:c r="F74" s="91"/>
      <x:c r="G74" s="91"/>
      <x:c r="H74" s="91" t="str">
        <x:f>IF($F74="","",IFERROR(VALUE(LEFT($G74,FIND("/",$G74)-1))/100*$F74,$F74/2))</x:f>
      </x:c>
      <x:c r="I74" s="91" t="str">
        <x:f>IF($F74="","",IFERROR(VALUE(MID($G74,FIND("/",$G74)+1,99))/100*$F74,$F74/2))</x:f>
      </x:c>
      <x:c r="J74" s="58"/>
      <x:c r="K74" s="58"/>
    </x:row>
    <x:row r="75">
      <x:c r="A75" s="58" t="str">
        <x:f>IF(B75="","",ROW()-1)</x:f>
      </x:c>
      <x:c r="B75" s="89"/>
      <x:c r="C75" s="58"/>
      <x:c r="D75" s="58"/>
      <x:c r="E75" s="58"/>
      <x:c r="F75" s="91"/>
      <x:c r="G75" s="91"/>
      <x:c r="H75" s="91" t="str">
        <x:f>IF($F75="","",IFERROR(VALUE(LEFT($G75,FIND("/",$G75)-1))/100*$F75,$F75/2))</x:f>
      </x:c>
      <x:c r="I75" s="91" t="str">
        <x:f>IF($F75="","",IFERROR(VALUE(MID($G75,FIND("/",$G75)+1,99))/100*$F75,$F75/2))</x:f>
      </x:c>
      <x:c r="J75" s="58"/>
      <x:c r="K75" s="58"/>
    </x:row>
    <x:row r="76">
      <x:c r="A76" s="58" t="str">
        <x:f>IF(B76="","",ROW()-1)</x:f>
      </x:c>
      <x:c r="B76" s="89"/>
      <x:c r="C76" s="58"/>
      <x:c r="D76" s="58"/>
      <x:c r="E76" s="58"/>
      <x:c r="F76" s="91"/>
      <x:c r="G76" s="91"/>
      <x:c r="H76" s="91" t="str">
        <x:f>IF($F76="","",IFERROR(VALUE(LEFT($G76,FIND("/",$G76)-1))/100*$F76,$F76/2))</x:f>
      </x:c>
      <x:c r="I76" s="91" t="str">
        <x:f>IF($F76="","",IFERROR(VALUE(MID($G76,FIND("/",$G76)+1,99))/100*$F76,$F76/2))</x:f>
      </x:c>
      <x:c r="J76" s="58"/>
      <x:c r="K76" s="58"/>
    </x:row>
    <x:row r="77">
      <x:c r="A77" s="58" t="str">
        <x:f>IF(B77="","",ROW()-1)</x:f>
      </x:c>
      <x:c r="B77" s="89"/>
      <x:c r="C77" s="58"/>
      <x:c r="D77" s="58"/>
      <x:c r="E77" s="58"/>
      <x:c r="F77" s="91"/>
      <x:c r="G77" s="91"/>
      <x:c r="H77" s="91" t="str">
        <x:f>IF($F77="","",IFERROR(VALUE(LEFT($G77,FIND("/",$G77)-1))/100*$F77,$F77/2))</x:f>
      </x:c>
      <x:c r="I77" s="91" t="str">
        <x:f>IF($F77="","",IFERROR(VALUE(MID($G77,FIND("/",$G77)+1,99))/100*$F77,$F77/2))</x:f>
      </x:c>
      <x:c r="J77" s="58"/>
      <x:c r="K77" s="58"/>
    </x:row>
    <x:row r="78">
      <x:c r="A78" s="58" t="str">
        <x:f>IF(B78="","",ROW()-1)</x:f>
      </x:c>
      <x:c r="B78" s="89"/>
      <x:c r="C78" s="58"/>
      <x:c r="D78" s="58"/>
      <x:c r="E78" s="58"/>
      <x:c r="F78" s="91"/>
      <x:c r="G78" s="91"/>
      <x:c r="H78" s="91" t="str">
        <x:f>IF($F78="","",IFERROR(VALUE(LEFT($G78,FIND("/",$G78)-1))/100*$F78,$F78/2))</x:f>
      </x:c>
      <x:c r="I78" s="91" t="str">
        <x:f>IF($F78="","",IFERROR(VALUE(MID($G78,FIND("/",$G78)+1,99))/100*$F78,$F78/2))</x:f>
      </x:c>
      <x:c r="J78" s="58"/>
      <x:c r="K78" s="58"/>
    </x:row>
    <x:row r="79">
      <x:c r="A79" s="58" t="str">
        <x:f>IF(B79="","",ROW()-1)</x:f>
      </x:c>
      <x:c r="B79" s="89"/>
      <x:c r="C79" s="58"/>
      <x:c r="D79" s="58"/>
      <x:c r="E79" s="58"/>
      <x:c r="F79" s="91"/>
      <x:c r="G79" s="91"/>
      <x:c r="H79" s="91" t="str">
        <x:f>IF($F79="","",IFERROR(VALUE(LEFT($G79,FIND("/",$G79)-1))/100*$F79,$F79/2))</x:f>
      </x:c>
      <x:c r="I79" s="91" t="str">
        <x:f>IF($F79="","",IFERROR(VALUE(MID($G79,FIND("/",$G79)+1,99))/100*$F79,$F79/2))</x:f>
      </x:c>
      <x:c r="J79" s="58"/>
      <x:c r="K79" s="58"/>
    </x:row>
    <x:row r="80">
      <x:c r="A80" s="58" t="str">
        <x:f>IF(B80="","",ROW()-1)</x:f>
      </x:c>
      <x:c r="B80" s="89"/>
      <x:c r="C80" s="58"/>
      <x:c r="D80" s="58"/>
      <x:c r="E80" s="58"/>
      <x:c r="F80" s="91"/>
      <x:c r="G80" s="91"/>
      <x:c r="H80" s="91" t="str">
        <x:f>IF($F80="","",IFERROR(VALUE(LEFT($G80,FIND("/",$G80)-1))/100*$F80,$F80/2))</x:f>
      </x:c>
      <x:c r="I80" s="91" t="str">
        <x:f>IF($F80="","",IFERROR(VALUE(MID($G80,FIND("/",$G80)+1,99))/100*$F80,$F80/2))</x:f>
      </x:c>
      <x:c r="J80" s="58"/>
      <x:c r="K80" s="58"/>
    </x:row>
    <x:row r="81">
      <x:c r="A81" s="58" t="str">
        <x:f>IF(B81="","",ROW()-1)</x:f>
      </x:c>
      <x:c r="B81" s="89"/>
      <x:c r="C81" s="58"/>
      <x:c r="D81" s="58"/>
      <x:c r="E81" s="58"/>
      <x:c r="F81" s="91"/>
      <x:c r="G81" s="91"/>
      <x:c r="H81" s="91" t="str">
        <x:f>IF($F81="","",IFERROR(VALUE(LEFT($G81,FIND("/",$G81)-1))/100*$F81,$F81/2))</x:f>
      </x:c>
      <x:c r="I81" s="91" t="str">
        <x:f>IF($F81="","",IFERROR(VALUE(MID($G81,FIND("/",$G81)+1,99))/100*$F81,$F81/2))</x:f>
      </x:c>
      <x:c r="J81" s="58"/>
      <x:c r="K81" s="58"/>
    </x:row>
    <x:row r="82">
      <x:c r="A82" s="58" t="str">
        <x:f>IF(B82="","",ROW()-1)</x:f>
      </x:c>
      <x:c r="B82" s="89"/>
      <x:c r="C82" s="58"/>
      <x:c r="D82" s="58"/>
      <x:c r="E82" s="58"/>
      <x:c r="F82" s="91"/>
      <x:c r="G82" s="91"/>
      <x:c r="H82" s="91" t="str">
        <x:f>IF($F82="","",IFERROR(VALUE(LEFT($G82,FIND("/",$G82)-1))/100*$F82,$F82/2))</x:f>
      </x:c>
      <x:c r="I82" s="91" t="str">
        <x:f>IF($F82="","",IFERROR(VALUE(MID($G82,FIND("/",$G82)+1,99))/100*$F82,$F82/2))</x:f>
      </x:c>
      <x:c r="J82" s="58"/>
      <x:c r="K82" s="58"/>
    </x:row>
    <x:row r="83">
      <x:c r="A83" s="58" t="str">
        <x:f>IF(B83="","",ROW()-1)</x:f>
      </x:c>
      <x:c r="B83" s="89"/>
      <x:c r="C83" s="58"/>
      <x:c r="D83" s="58"/>
      <x:c r="E83" s="58"/>
      <x:c r="F83" s="91"/>
      <x:c r="G83" s="91"/>
      <x:c r="H83" s="91" t="str">
        <x:f>IF($F83="","",IFERROR(VALUE(LEFT($G83,FIND("/",$G83)-1))/100*$F83,$F83/2))</x:f>
      </x:c>
      <x:c r="I83" s="91" t="str">
        <x:f>IF($F83="","",IFERROR(VALUE(MID($G83,FIND("/",$G83)+1,99))/100*$F83,$F83/2))</x:f>
      </x:c>
      <x:c r="J83" s="58"/>
      <x:c r="K83" s="58"/>
    </x:row>
    <x:row r="84">
      <x:c r="A84" s="58" t="str">
        <x:f>IF(B84="","",ROW()-1)</x:f>
      </x:c>
      <x:c r="B84" s="89"/>
      <x:c r="C84" s="58"/>
      <x:c r="D84" s="58"/>
      <x:c r="E84" s="58"/>
      <x:c r="F84" s="91"/>
      <x:c r="G84" s="91"/>
      <x:c r="H84" s="91" t="str">
        <x:f>IF($F84="","",IFERROR(VALUE(LEFT($G84,FIND("/",$G84)-1))/100*$F84,$F84/2))</x:f>
      </x:c>
      <x:c r="I84" s="91" t="str">
        <x:f>IF($F84="","",IFERROR(VALUE(MID($G84,FIND("/",$G84)+1,99))/100*$F84,$F84/2))</x:f>
      </x:c>
      <x:c r="J84" s="58"/>
      <x:c r="K84" s="58"/>
    </x:row>
    <x:row r="85">
      <x:c r="A85" s="58" t="str">
        <x:f>IF(B85="","",ROW()-1)</x:f>
      </x:c>
      <x:c r="B85" s="89"/>
      <x:c r="C85" s="58"/>
      <x:c r="D85" s="58"/>
      <x:c r="E85" s="58"/>
      <x:c r="F85" s="91"/>
      <x:c r="G85" s="91"/>
      <x:c r="H85" s="91" t="str">
        <x:f>IF($F85="","",IFERROR(VALUE(LEFT($G85,FIND("/",$G85)-1))/100*$F85,$F85/2))</x:f>
      </x:c>
      <x:c r="I85" s="91" t="str">
        <x:f>IF($F85="","",IFERROR(VALUE(MID($G85,FIND("/",$G85)+1,99))/100*$F85,$F85/2))</x:f>
      </x:c>
      <x:c r="J85" s="58"/>
      <x:c r="K85" s="58"/>
    </x:row>
    <x:row r="86">
      <x:c r="A86" s="58" t="str">
        <x:f>IF(B86="","",ROW()-1)</x:f>
      </x:c>
      <x:c r="B86" s="89"/>
      <x:c r="C86" s="58"/>
      <x:c r="D86" s="58"/>
      <x:c r="E86" s="58"/>
      <x:c r="F86" s="91"/>
      <x:c r="G86" s="91"/>
      <x:c r="H86" s="91" t="str">
        <x:f>IF($F86="","",IFERROR(VALUE(LEFT($G86,FIND("/",$G86)-1))/100*$F86,$F86/2))</x:f>
      </x:c>
      <x:c r="I86" s="91" t="str">
        <x:f>IF($F86="","",IFERROR(VALUE(MID($G86,FIND("/",$G86)+1,99))/100*$F86,$F86/2))</x:f>
      </x:c>
      <x:c r="J86" s="58"/>
      <x:c r="K86" s="58"/>
    </x:row>
    <x:row r="87">
      <x:c r="A87" s="58" t="str">
        <x:f>IF(B87="","",ROW()-1)</x:f>
      </x:c>
      <x:c r="B87" s="89"/>
      <x:c r="C87" s="58"/>
      <x:c r="D87" s="58"/>
      <x:c r="E87" s="58"/>
      <x:c r="F87" s="91"/>
      <x:c r="G87" s="91"/>
      <x:c r="H87" s="91" t="str">
        <x:f>IF($F87="","",IFERROR(VALUE(LEFT($G87,FIND("/",$G87)-1))/100*$F87,$F87/2))</x:f>
      </x:c>
      <x:c r="I87" s="91" t="str">
        <x:f>IF($F87="","",IFERROR(VALUE(MID($G87,FIND("/",$G87)+1,99))/100*$F87,$F87/2))</x:f>
      </x:c>
      <x:c r="J87" s="58"/>
      <x:c r="K87" s="58"/>
    </x:row>
    <x:row r="88">
      <x:c r="A88" s="58" t="str">
        <x:f>IF(B88="","",ROW()-1)</x:f>
      </x:c>
      <x:c r="B88" s="89"/>
      <x:c r="C88" s="58"/>
      <x:c r="D88" s="58"/>
      <x:c r="E88" s="58"/>
      <x:c r="F88" s="91"/>
      <x:c r="G88" s="91"/>
      <x:c r="H88" s="91" t="str">
        <x:f>IF($F88="","",IFERROR(VALUE(LEFT($G88,FIND("/",$G88)-1))/100*$F88,$F88/2))</x:f>
      </x:c>
      <x:c r="I88" s="91" t="str">
        <x:f>IF($F88="","",IFERROR(VALUE(MID($G88,FIND("/",$G88)+1,99))/100*$F88,$F88/2))</x:f>
      </x:c>
      <x:c r="J88" s="58"/>
      <x:c r="K88" s="58"/>
    </x:row>
    <x:row r="89">
      <x:c r="A89" s="58" t="str">
        <x:f>IF(B89="","",ROW()-1)</x:f>
      </x:c>
      <x:c r="B89" s="89"/>
      <x:c r="C89" s="58"/>
      <x:c r="D89" s="58"/>
      <x:c r="E89" s="58"/>
      <x:c r="F89" s="91"/>
      <x:c r="G89" s="91"/>
      <x:c r="H89" s="91" t="str">
        <x:f>IF($F89="","",IFERROR(VALUE(LEFT($G89,FIND("/",$G89)-1))/100*$F89,$F89/2))</x:f>
      </x:c>
      <x:c r="I89" s="91" t="str">
        <x:f>IF($F89="","",IFERROR(VALUE(MID($G89,FIND("/",$G89)+1,99))/100*$F89,$F89/2))</x:f>
      </x:c>
      <x:c r="J89" s="58"/>
      <x:c r="K89" s="58"/>
    </x:row>
    <x:row r="90">
      <x:c r="A90" s="58" t="str">
        <x:f>IF(B90="","",ROW()-1)</x:f>
      </x:c>
      <x:c r="B90" s="89"/>
      <x:c r="C90" s="58"/>
      <x:c r="D90" s="58"/>
      <x:c r="E90" s="58"/>
      <x:c r="F90" s="91"/>
      <x:c r="G90" s="91"/>
      <x:c r="H90" s="91" t="str">
        <x:f>IF($F90="","",IFERROR(VALUE(LEFT($G90,FIND("/",$G90)-1))/100*$F90,$F90/2))</x:f>
      </x:c>
      <x:c r="I90" s="91" t="str">
        <x:f>IF($F90="","",IFERROR(VALUE(MID($G90,FIND("/",$G90)+1,99))/100*$F90,$F90/2))</x:f>
      </x:c>
      <x:c r="J90" s="58"/>
      <x:c r="K90" s="58"/>
    </x:row>
    <x:row r="91">
      <x:c r="A91" s="58" t="str">
        <x:f>IF(B91="","",ROW()-1)</x:f>
      </x:c>
      <x:c r="B91" s="89"/>
      <x:c r="C91" s="58"/>
      <x:c r="D91" s="58"/>
      <x:c r="E91" s="58"/>
      <x:c r="F91" s="91"/>
      <x:c r="G91" s="91"/>
      <x:c r="H91" s="91" t="str">
        <x:f>IF($F91="","",IFERROR(VALUE(LEFT($G91,FIND("/",$G91)-1))/100*$F91,$F91/2))</x:f>
      </x:c>
      <x:c r="I91" s="91" t="str">
        <x:f>IF($F91="","",IFERROR(VALUE(MID($G91,FIND("/",$G91)+1,99))/100*$F91,$F91/2))</x:f>
      </x:c>
      <x:c r="J91" s="58"/>
      <x:c r="K91" s="58"/>
    </x:row>
    <x:row r="92">
      <x:c r="A92" s="58" t="str">
        <x:f>IF(B92="","",ROW()-1)</x:f>
      </x:c>
      <x:c r="B92" s="89"/>
      <x:c r="C92" s="58"/>
      <x:c r="D92" s="58"/>
      <x:c r="E92" s="58"/>
      <x:c r="F92" s="91"/>
      <x:c r="G92" s="91"/>
      <x:c r="H92" s="91" t="str">
        <x:f>IF($F92="","",IFERROR(VALUE(LEFT($G92,FIND("/",$G92)-1))/100*$F92,$F92/2))</x:f>
      </x:c>
      <x:c r="I92" s="91" t="str">
        <x:f>IF($F92="","",IFERROR(VALUE(MID($G92,FIND("/",$G92)+1,99))/100*$F92,$F92/2))</x:f>
      </x:c>
      <x:c r="J92" s="58"/>
      <x:c r="K92" s="58"/>
    </x:row>
    <x:row r="93">
      <x:c r="A93" s="58" t="str">
        <x:f>IF(B93="","",ROW()-1)</x:f>
      </x:c>
      <x:c r="B93" s="89"/>
      <x:c r="C93" s="58"/>
      <x:c r="D93" s="58"/>
      <x:c r="E93" s="58"/>
      <x:c r="F93" s="91"/>
      <x:c r="G93" s="91"/>
      <x:c r="H93" s="91" t="str">
        <x:f>IF($F93="","",IFERROR(VALUE(LEFT($G93,FIND("/",$G93)-1))/100*$F93,$F93/2))</x:f>
      </x:c>
      <x:c r="I93" s="91" t="str">
        <x:f>IF($F93="","",IFERROR(VALUE(MID($G93,FIND("/",$G93)+1,99))/100*$F93,$F93/2))</x:f>
      </x:c>
      <x:c r="J93" s="58"/>
      <x:c r="K93" s="58"/>
    </x:row>
    <x:row r="94">
      <x:c r="A94" s="58" t="str">
        <x:f>IF(B94="","",ROW()-1)</x:f>
      </x:c>
      <x:c r="B94" s="89"/>
      <x:c r="C94" s="58"/>
      <x:c r="D94" s="58"/>
      <x:c r="E94" s="58"/>
      <x:c r="F94" s="91"/>
      <x:c r="G94" s="91"/>
      <x:c r="H94" s="91" t="str">
        <x:f>IF($F94="","",IFERROR(VALUE(LEFT($G94,FIND("/",$G94)-1))/100*$F94,$F94/2))</x:f>
      </x:c>
      <x:c r="I94" s="91" t="str">
        <x:f>IF($F94="","",IFERROR(VALUE(MID($G94,FIND("/",$G94)+1,99))/100*$F94,$F94/2))</x:f>
      </x:c>
      <x:c r="J94" s="58"/>
      <x:c r="K94" s="58"/>
    </x:row>
    <x:row r="95">
      <x:c r="A95" s="58" t="str">
        <x:f>IF(B95="","",ROW()-1)</x:f>
      </x:c>
      <x:c r="B95" s="89"/>
      <x:c r="C95" s="58"/>
      <x:c r="D95" s="58"/>
      <x:c r="E95" s="58"/>
      <x:c r="F95" s="91"/>
      <x:c r="G95" s="91"/>
      <x:c r="H95" s="91" t="str">
        <x:f>IF($F95="","",IFERROR(VALUE(LEFT($G95,FIND("/",$G95)-1))/100*$F95,$F95/2))</x:f>
      </x:c>
      <x:c r="I95" s="91" t="str">
        <x:f>IF($F95="","",IFERROR(VALUE(MID($G95,FIND("/",$G95)+1,99))/100*$F95,$F95/2))</x:f>
      </x:c>
      <x:c r="J95" s="58"/>
      <x:c r="K95" s="58"/>
    </x:row>
    <x:row r="96">
      <x:c r="A96" s="58" t="str">
        <x:f>IF(B96="","",ROW()-1)</x:f>
      </x:c>
      <x:c r="B96" s="89"/>
      <x:c r="C96" s="58"/>
      <x:c r="D96" s="58"/>
      <x:c r="E96" s="58"/>
      <x:c r="F96" s="91"/>
      <x:c r="G96" s="91"/>
      <x:c r="H96" s="91" t="str">
        <x:f>IF($F96="","",IFERROR(VALUE(LEFT($G96,FIND("/",$G96)-1))/100*$F96,$F96/2))</x:f>
      </x:c>
      <x:c r="I96" s="91" t="str">
        <x:f>IF($F96="","",IFERROR(VALUE(MID($G96,FIND("/",$G96)+1,99))/100*$F96,$F96/2))</x:f>
      </x:c>
      <x:c r="J96" s="58"/>
      <x:c r="K96" s="58"/>
    </x:row>
    <x:row r="97">
      <x:c r="A97" s="58" t="str">
        <x:f>IF(B97="","",ROW()-1)</x:f>
      </x:c>
      <x:c r="B97" s="89"/>
      <x:c r="C97" s="58"/>
      <x:c r="D97" s="58"/>
      <x:c r="E97" s="58"/>
      <x:c r="F97" s="91"/>
      <x:c r="G97" s="91"/>
      <x:c r="H97" s="91" t="str">
        <x:f>IF($F97="","",IFERROR(VALUE(LEFT($G97,FIND("/",$G97)-1))/100*$F97,$F97/2))</x:f>
      </x:c>
      <x:c r="I97" s="91" t="str">
        <x:f>IF($F97="","",IFERROR(VALUE(MID($G97,FIND("/",$G97)+1,99))/100*$F97,$F97/2))</x:f>
      </x:c>
      <x:c r="J97" s="58"/>
      <x:c r="K97" s="58"/>
    </x:row>
    <x:row r="98">
      <x:c r="A98" s="58" t="str">
        <x:f>IF(B98="","",ROW()-1)</x:f>
      </x:c>
      <x:c r="B98" s="89"/>
      <x:c r="C98" s="58"/>
      <x:c r="D98" s="58"/>
      <x:c r="E98" s="58"/>
      <x:c r="F98" s="91"/>
      <x:c r="G98" s="91"/>
      <x:c r="H98" s="91" t="str">
        <x:f>IF($F98="","",IFERROR(VALUE(LEFT($G98,FIND("/",$G98)-1))/100*$F98,$F98/2))</x:f>
      </x:c>
      <x:c r="I98" s="91" t="str">
        <x:f>IF($F98="","",IFERROR(VALUE(MID($G98,FIND("/",$G98)+1,99))/100*$F98,$F98/2))</x:f>
      </x:c>
      <x:c r="J98" s="58"/>
      <x:c r="K98" s="58"/>
    </x:row>
    <x:row r="99">
      <x:c r="A99" s="58" t="str">
        <x:f>IF(B99="","",ROW()-1)</x:f>
      </x:c>
      <x:c r="B99" s="89"/>
      <x:c r="C99" s="58"/>
      <x:c r="D99" s="58"/>
      <x:c r="E99" s="58"/>
      <x:c r="F99" s="91"/>
      <x:c r="G99" s="91"/>
      <x:c r="H99" s="91" t="str">
        <x:f>IF($F99="","",IFERROR(VALUE(LEFT($G99,FIND("/",$G99)-1))/100*$F99,$F99/2))</x:f>
      </x:c>
      <x:c r="I99" s="91" t="str">
        <x:f>IF($F99="","",IFERROR(VALUE(MID($G99,FIND("/",$G99)+1,99))/100*$F99,$F99/2))</x:f>
      </x:c>
      <x:c r="J99" s="58"/>
      <x:c r="K99" s="58"/>
    </x:row>
    <x:row r="100">
      <x:c r="A100" s="58" t="str">
        <x:f>IF(B100="","",ROW()-1)</x:f>
      </x:c>
      <x:c r="B100" s="89"/>
      <x:c r="C100" s="58"/>
      <x:c r="D100" s="58"/>
      <x:c r="E100" s="58"/>
      <x:c r="F100" s="91"/>
      <x:c r="G100" s="91"/>
      <x:c r="H100" s="91" t="str">
        <x:f>IF($F100="","",IFERROR(VALUE(LEFT($G100,FIND("/",$G100)-1))/100*$F100,$F100/2))</x:f>
      </x:c>
      <x:c r="I100" s="91" t="str">
        <x:f>IF($F100="","",IFERROR(VALUE(MID($G100,FIND("/",$G100)+1,99))/100*$F100,$F100/2))</x:f>
      </x:c>
      <x:c r="J100" s="58"/>
      <x:c r="K100" s="58"/>
    </x:row>
    <x:row r="101">
      <x:c r="A101" s="58" t="str">
        <x:f>IF(B101="","",ROW()-1)</x:f>
      </x:c>
      <x:c r="B101" s="89"/>
      <x:c r="C101" s="58"/>
      <x:c r="D101" s="58"/>
      <x:c r="E101" s="58"/>
      <x:c r="F101" s="91"/>
      <x:c r="G101" s="91"/>
      <x:c r="H101" s="91" t="str">
        <x:f>IF($F101="","",IFERROR(VALUE(LEFT($G101,FIND("/",$G101)-1))/100*$F101,$F101/2))</x:f>
      </x:c>
      <x:c r="I101" s="91" t="str">
        <x:f>IF($F101="","",IFERROR(VALUE(MID($G101,FIND("/",$G101)+1,99))/100*$F101,$F101/2))</x:f>
      </x:c>
      <x:c r="J101" s="58"/>
      <x:c r="K101" s="58"/>
    </x:row>
    <x:row r="102">
      <x:c r="A102" s="58" t="str">
        <x:f>IF(B102="","",ROW()-1)</x:f>
      </x:c>
      <x:c r="B102" s="89"/>
      <x:c r="C102" s="58"/>
      <x:c r="D102" s="58"/>
      <x:c r="E102" s="58"/>
      <x:c r="F102" s="91"/>
      <x:c r="G102" s="91"/>
      <x:c r="H102" s="91" t="str">
        <x:f>IF($F102="","",IFERROR(VALUE(LEFT($G102,FIND("/",$G102)-1))/100*$F102,$F102/2))</x:f>
      </x:c>
      <x:c r="I102" s="91" t="str">
        <x:f>IF($F102="","",IFERROR(VALUE(MID($G102,FIND("/",$G102)+1,99))/100*$F102,$F102/2))</x:f>
      </x:c>
      <x:c r="J102" s="58"/>
      <x:c r="K102" s="58"/>
    </x:row>
    <x:row r="103">
      <x:c r="A103" s="58" t="str">
        <x:f>IF(B103="","",ROW()-1)</x:f>
      </x:c>
      <x:c r="B103" s="89"/>
      <x:c r="C103" s="58"/>
      <x:c r="D103" s="58"/>
      <x:c r="E103" s="58"/>
      <x:c r="F103" s="91"/>
      <x:c r="G103" s="91"/>
      <x:c r="H103" s="91" t="str">
        <x:f>IF($F103="","",IFERROR(VALUE(LEFT($G103,FIND("/",$G103)-1))/100*$F103,$F103/2))</x:f>
      </x:c>
      <x:c r="I103" s="91" t="str">
        <x:f>IF($F103="","",IFERROR(VALUE(MID($G103,FIND("/",$G103)+1,99))/100*$F103,$F103/2))</x:f>
      </x:c>
      <x:c r="J103" s="58"/>
      <x:c r="K103" s="58"/>
    </x:row>
    <x:row r="104">
      <x:c r="A104" s="58" t="str">
        <x:f>IF(B104="","",ROW()-1)</x:f>
      </x:c>
      <x:c r="B104" s="89"/>
      <x:c r="C104" s="58"/>
      <x:c r="D104" s="58"/>
      <x:c r="E104" s="58"/>
      <x:c r="F104" s="91"/>
      <x:c r="G104" s="91"/>
      <x:c r="H104" s="91" t="str">
        <x:f>IF($F104="","",IFERROR(VALUE(LEFT($G104,FIND("/",$G104)-1))/100*$F104,$F104/2))</x:f>
      </x:c>
      <x:c r="I104" s="91" t="str">
        <x:f>IF($F104="","",IFERROR(VALUE(MID($G104,FIND("/",$G104)+1,99))/100*$F104,$F104/2))</x:f>
      </x:c>
      <x:c r="J104" s="58"/>
      <x:c r="K104" s="58"/>
    </x:row>
    <x:row r="105">
      <x:c r="A105" s="58" t="str">
        <x:f>IF(B105="","",ROW()-1)</x:f>
      </x:c>
      <x:c r="B105" s="89"/>
      <x:c r="C105" s="58"/>
      <x:c r="D105" s="58"/>
      <x:c r="E105" s="58"/>
      <x:c r="F105" s="91"/>
      <x:c r="G105" s="91"/>
      <x:c r="H105" s="91" t="str">
        <x:f>IF($F105="","",IFERROR(VALUE(LEFT($G105,FIND("/",$G105)-1))/100*$F105,$F105/2))</x:f>
      </x:c>
      <x:c r="I105" s="91" t="str">
        <x:f>IF($F105="","",IFERROR(VALUE(MID($G105,FIND("/",$G105)+1,99))/100*$F105,$F105/2))</x:f>
      </x:c>
      <x:c r="J105" s="58"/>
      <x:c r="K105" s="58"/>
    </x:row>
    <x:row r="106">
      <x:c r="A106" s="58" t="str">
        <x:f>IF(B106="","",ROW()-1)</x:f>
      </x:c>
      <x:c r="B106" s="89"/>
      <x:c r="C106" s="58"/>
      <x:c r="D106" s="58"/>
      <x:c r="E106" s="58"/>
      <x:c r="F106" s="91"/>
      <x:c r="G106" s="91"/>
      <x:c r="H106" s="91" t="str">
        <x:f>IF($F106="","",IFERROR(VALUE(LEFT($G106,FIND("/",$G106)-1))/100*$F106,$F106/2))</x:f>
      </x:c>
      <x:c r="I106" s="91" t="str">
        <x:f>IF($F106="","",IFERROR(VALUE(MID($G106,FIND("/",$G106)+1,99))/100*$F106,$F106/2))</x:f>
      </x:c>
      <x:c r="J106" s="58"/>
      <x:c r="K106" s="58"/>
    </x:row>
    <x:row r="107">
      <x:c r="A107" s="58" t="str">
        <x:f>IF(B107="","",ROW()-1)</x:f>
      </x:c>
      <x:c r="B107" s="89"/>
      <x:c r="C107" s="58"/>
      <x:c r="D107" s="58"/>
      <x:c r="E107" s="58"/>
      <x:c r="F107" s="91"/>
      <x:c r="G107" s="91"/>
      <x:c r="H107" s="91" t="str">
        <x:f>IF($F107="","",IFERROR(VALUE(LEFT($G107,FIND("/",$G107)-1))/100*$F107,$F107/2))</x:f>
      </x:c>
      <x:c r="I107" s="91" t="str">
        <x:f>IF($F107="","",IFERROR(VALUE(MID($G107,FIND("/",$G107)+1,99))/100*$F107,$F107/2))</x:f>
      </x:c>
      <x:c r="J107" s="58"/>
      <x:c r="K107" s="58"/>
    </x:row>
    <x:row r="108">
      <x:c r="A108" s="58" t="str">
        <x:f>IF(B108="","",ROW()-1)</x:f>
      </x:c>
      <x:c r="B108" s="89"/>
      <x:c r="C108" s="58"/>
      <x:c r="D108" s="58"/>
      <x:c r="E108" s="58"/>
      <x:c r="F108" s="91"/>
      <x:c r="G108" s="91"/>
      <x:c r="H108" s="91" t="str">
        <x:f>IF($F108="","",IFERROR(VALUE(LEFT($G108,FIND("/",$G108)-1))/100*$F108,$F108/2))</x:f>
      </x:c>
      <x:c r="I108" s="91" t="str">
        <x:f>IF($F108="","",IFERROR(VALUE(MID($G108,FIND("/",$G108)+1,99))/100*$F108,$F108/2))</x:f>
      </x:c>
      <x:c r="J108" s="58"/>
      <x:c r="K108" s="58"/>
    </x:row>
    <x:row r="109">
      <x:c r="A109" s="58" t="str">
        <x:f>IF(B109="","",ROW()-1)</x:f>
      </x:c>
      <x:c r="B109" s="89"/>
      <x:c r="C109" s="58"/>
      <x:c r="D109" s="58"/>
      <x:c r="E109" s="58"/>
      <x:c r="F109" s="91"/>
      <x:c r="G109" s="91"/>
      <x:c r="H109" s="91" t="str">
        <x:f>IF($F109="","",IFERROR(VALUE(LEFT($G109,FIND("/",$G109)-1))/100*$F109,$F109/2))</x:f>
      </x:c>
      <x:c r="I109" s="91" t="str">
        <x:f>IF($F109="","",IFERROR(VALUE(MID($G109,FIND("/",$G109)+1,99))/100*$F109,$F109/2))</x:f>
      </x:c>
      <x:c r="J109" s="58"/>
      <x:c r="K109" s="58"/>
    </x:row>
    <x:row r="110">
      <x:c r="A110" s="58" t="str">
        <x:f>IF(B110="","",ROW()-1)</x:f>
      </x:c>
      <x:c r="B110" s="89"/>
      <x:c r="C110" s="58"/>
      <x:c r="D110" s="58"/>
      <x:c r="E110" s="58"/>
      <x:c r="F110" s="91"/>
      <x:c r="G110" s="91"/>
      <x:c r="H110" s="91" t="str">
        <x:f>IF($F110="","",IFERROR(VALUE(LEFT($G110,FIND("/",$G110)-1))/100*$F110,$F110/2))</x:f>
      </x:c>
      <x:c r="I110" s="91" t="str">
        <x:f>IF($F110="","",IFERROR(VALUE(MID($G110,FIND("/",$G110)+1,99))/100*$F110,$F110/2))</x:f>
      </x:c>
      <x:c r="J110" s="58"/>
      <x:c r="K110" s="58"/>
    </x:row>
    <x:row r="111">
      <x:c r="A111" s="58" t="str">
        <x:f>IF(B111="","",ROW()-1)</x:f>
      </x:c>
      <x:c r="B111" s="89"/>
      <x:c r="C111" s="58"/>
      <x:c r="D111" s="58"/>
      <x:c r="E111" s="58"/>
      <x:c r="F111" s="91"/>
      <x:c r="G111" s="91"/>
      <x:c r="H111" s="91" t="str">
        <x:f>IF($F111="","",IFERROR(VALUE(LEFT($G111,FIND("/",$G111)-1))/100*$F111,$F111/2))</x:f>
      </x:c>
      <x:c r="I111" s="91" t="str">
        <x:f>IF($F111="","",IFERROR(VALUE(MID($G111,FIND("/",$G111)+1,99))/100*$F111,$F111/2))</x:f>
      </x:c>
      <x:c r="J111" s="58"/>
      <x:c r="K111" s="58"/>
    </x:row>
    <x:row r="112">
      <x:c r="A112" s="58" t="str">
        <x:f>IF(B112="","",ROW()-1)</x:f>
      </x:c>
      <x:c r="B112" s="89"/>
      <x:c r="C112" s="58"/>
      <x:c r="D112" s="58"/>
      <x:c r="E112" s="58"/>
      <x:c r="F112" s="91"/>
      <x:c r="G112" s="91"/>
      <x:c r="H112" s="91" t="str">
        <x:f>IF($F112="","",IFERROR(VALUE(LEFT($G112,FIND("/",$G112)-1))/100*$F112,$F112/2))</x:f>
      </x:c>
      <x:c r="I112" s="91" t="str">
        <x:f>IF($F112="","",IFERROR(VALUE(MID($G112,FIND("/",$G112)+1,99))/100*$F112,$F112/2))</x:f>
      </x:c>
      <x:c r="J112" s="58"/>
      <x:c r="K112" s="58"/>
    </x:row>
    <x:row r="113">
      <x:c r="A113" s="58" t="str">
        <x:f>IF(B113="","",ROW()-1)</x:f>
      </x:c>
      <x:c r="B113" s="89"/>
      <x:c r="C113" s="58"/>
      <x:c r="D113" s="58"/>
      <x:c r="E113" s="58"/>
      <x:c r="F113" s="91"/>
      <x:c r="G113" s="91"/>
      <x:c r="H113" s="91" t="str">
        <x:f>IF($F113="","",IFERROR(VALUE(LEFT($G113,FIND("/",$G113)-1))/100*$F113,$F113/2))</x:f>
      </x:c>
      <x:c r="I113" s="91" t="str">
        <x:f>IF($F113="","",IFERROR(VALUE(MID($G113,FIND("/",$G113)+1,99))/100*$F113,$F113/2))</x:f>
      </x:c>
      <x:c r="J113" s="58"/>
      <x:c r="K113" s="58"/>
    </x:row>
    <x:row r="114">
      <x:c r="A114" s="58" t="str">
        <x:f>IF(B114="","",ROW()-1)</x:f>
      </x:c>
      <x:c r="B114" s="89"/>
      <x:c r="C114" s="58"/>
      <x:c r="D114" s="58"/>
      <x:c r="E114" s="58"/>
      <x:c r="F114" s="91"/>
      <x:c r="G114" s="91"/>
      <x:c r="H114" s="91" t="str">
        <x:f>IF($F114="","",IFERROR(VALUE(LEFT($G114,FIND("/",$G114)-1))/100*$F114,$F114/2))</x:f>
      </x:c>
      <x:c r="I114" s="91" t="str">
        <x:f>IF($F114="","",IFERROR(VALUE(MID($G114,FIND("/",$G114)+1,99))/100*$F114,$F114/2))</x:f>
      </x:c>
      <x:c r="J114" s="58"/>
      <x:c r="K114" s="58"/>
    </x:row>
    <x:row r="115">
      <x:c r="A115" s="58" t="str">
        <x:f>IF(B115="","",ROW()-1)</x:f>
      </x:c>
      <x:c r="B115" s="89"/>
      <x:c r="C115" s="58"/>
      <x:c r="D115" s="58"/>
      <x:c r="E115" s="58"/>
      <x:c r="F115" s="91"/>
      <x:c r="G115" s="91"/>
      <x:c r="H115" s="91" t="str">
        <x:f>IF($F115="","",IFERROR(VALUE(LEFT($G115,FIND("/",$G115)-1))/100*$F115,$F115/2))</x:f>
      </x:c>
      <x:c r="I115" s="91" t="str">
        <x:f>IF($F115="","",IFERROR(VALUE(MID($G115,FIND("/",$G115)+1,99))/100*$F115,$F115/2))</x:f>
      </x:c>
      <x:c r="J115" s="58"/>
      <x:c r="K115" s="58"/>
    </x:row>
    <x:row r="116">
      <x:c r="A116" s="58" t="str">
        <x:f>IF(B116="","",ROW()-1)</x:f>
      </x:c>
      <x:c r="B116" s="89"/>
      <x:c r="C116" s="58"/>
      <x:c r="D116" s="58"/>
      <x:c r="E116" s="58"/>
      <x:c r="F116" s="91"/>
      <x:c r="G116" s="91"/>
      <x:c r="H116" s="91" t="str">
        <x:f>IF($F116="","",IFERROR(VALUE(LEFT($G116,FIND("/",$G116)-1))/100*$F116,$F116/2))</x:f>
      </x:c>
      <x:c r="I116" s="91" t="str">
        <x:f>IF($F116="","",IFERROR(VALUE(MID($G116,FIND("/",$G116)+1,99))/100*$F116,$F116/2))</x:f>
      </x:c>
      <x:c r="J116" s="58"/>
      <x:c r="K116" s="58"/>
    </x:row>
    <x:row r="117">
      <x:c r="A117" s="58" t="str">
        <x:f>IF(B117="","",ROW()-1)</x:f>
      </x:c>
      <x:c r="B117" s="89"/>
      <x:c r="C117" s="58"/>
      <x:c r="D117" s="58"/>
      <x:c r="E117" s="58"/>
      <x:c r="F117" s="91"/>
      <x:c r="G117" s="91"/>
      <x:c r="H117" s="91" t="str">
        <x:f>IF($F117="","",IFERROR(VALUE(LEFT($G117,FIND("/",$G117)-1))/100*$F117,$F117/2))</x:f>
      </x:c>
      <x:c r="I117" s="91" t="str">
        <x:f>IF($F117="","",IFERROR(VALUE(MID($G117,FIND("/",$G117)+1,99))/100*$F117,$F117/2))</x:f>
      </x:c>
      <x:c r="J117" s="58"/>
      <x:c r="K117" s="58"/>
    </x:row>
    <x:row r="118">
      <x:c r="A118" s="58" t="str">
        <x:f>IF(B118="","",ROW()-1)</x:f>
      </x:c>
      <x:c r="B118" s="89"/>
      <x:c r="C118" s="58"/>
      <x:c r="D118" s="58"/>
      <x:c r="E118" s="58"/>
      <x:c r="F118" s="91"/>
      <x:c r="G118" s="91"/>
      <x:c r="H118" s="91" t="str">
        <x:f>IF($F118="","",IFERROR(VALUE(LEFT($G118,FIND("/",$G118)-1))/100*$F118,$F118/2))</x:f>
      </x:c>
      <x:c r="I118" s="91" t="str">
        <x:f>IF($F118="","",IFERROR(VALUE(MID($G118,FIND("/",$G118)+1,99))/100*$F118,$F118/2))</x:f>
      </x:c>
      <x:c r="J118" s="58"/>
      <x:c r="K118" s="58"/>
    </x:row>
    <x:row r="119">
      <x:c r="A119" s="58" t="str">
        <x:f>IF(B119="","",ROW()-1)</x:f>
      </x:c>
      <x:c r="B119" s="89"/>
      <x:c r="C119" s="58"/>
      <x:c r="D119" s="58"/>
      <x:c r="E119" s="58"/>
      <x:c r="F119" s="91"/>
      <x:c r="G119" s="91"/>
      <x:c r="H119" s="91" t="str">
        <x:f>IF($F119="","",IFERROR(VALUE(LEFT($G119,FIND("/",$G119)-1))/100*$F119,$F119/2))</x:f>
      </x:c>
      <x:c r="I119" s="91" t="str">
        <x:f>IF($F119="","",IFERROR(VALUE(MID($G119,FIND("/",$G119)+1,99))/100*$F119,$F119/2))</x:f>
      </x:c>
      <x:c r="J119" s="58"/>
      <x:c r="K119" s="58"/>
    </x:row>
    <x:row r="120">
      <x:c r="A120" s="58" t="str">
        <x:f>IF(B120="","",ROW()-1)</x:f>
      </x:c>
      <x:c r="B120" s="89"/>
      <x:c r="C120" s="58"/>
      <x:c r="D120" s="58"/>
      <x:c r="E120" s="58"/>
      <x:c r="F120" s="91"/>
      <x:c r="G120" s="91"/>
      <x:c r="H120" s="91" t="str">
        <x:f>IF($F120="","",IFERROR(VALUE(LEFT($G120,FIND("/",$G120)-1))/100*$F120,$F120/2))</x:f>
      </x:c>
      <x:c r="I120" s="91" t="str">
        <x:f>IF($F120="","",IFERROR(VALUE(MID($G120,FIND("/",$G120)+1,99))/100*$F120,$F120/2))</x:f>
      </x:c>
      <x:c r="J120" s="58"/>
      <x:c r="K120" s="58"/>
    </x:row>
    <x:row r="121">
      <x:c r="A121" s="58" t="str">
        <x:f>IF(B121="","",ROW()-1)</x:f>
      </x:c>
      <x:c r="B121" s="89"/>
      <x:c r="C121" s="58"/>
      <x:c r="D121" s="58"/>
      <x:c r="E121" s="58"/>
      <x:c r="F121" s="91"/>
      <x:c r="G121" s="91"/>
      <x:c r="H121" s="91" t="str">
        <x:f>IF($F121="","",IFERROR(VALUE(LEFT($G121,FIND("/",$G121)-1))/100*$F121,$F121/2))</x:f>
      </x:c>
      <x:c r="I121" s="91" t="str">
        <x:f>IF($F121="","",IFERROR(VALUE(MID($G121,FIND("/",$G121)+1,99))/100*$F121,$F121/2))</x:f>
      </x:c>
      <x:c r="J121" s="58"/>
      <x:c r="K121" s="58"/>
    </x:row>
    <x:row r="122">
      <x:c r="A122" s="58" t="str">
        <x:f>IF(B122="","",ROW()-1)</x:f>
      </x:c>
      <x:c r="B122" s="89"/>
      <x:c r="C122" s="58"/>
      <x:c r="D122" s="58"/>
      <x:c r="E122" s="58"/>
      <x:c r="F122" s="91"/>
      <x:c r="G122" s="91"/>
      <x:c r="H122" s="91" t="str">
        <x:f>IF($F122="","",IFERROR(VALUE(LEFT($G122,FIND("/",$G122)-1))/100*$F122,$F122/2))</x:f>
      </x:c>
      <x:c r="I122" s="91" t="str">
        <x:f>IF($F122="","",IFERROR(VALUE(MID($G122,FIND("/",$G122)+1,99))/100*$F122,$F122/2))</x:f>
      </x:c>
      <x:c r="J122" s="58"/>
      <x:c r="K122" s="58"/>
    </x:row>
    <x:row r="123">
      <x:c r="A123" s="58" t="str">
        <x:f>IF(B123="","",ROW()-1)</x:f>
      </x:c>
      <x:c r="B123" s="89"/>
      <x:c r="C123" s="58"/>
      <x:c r="D123" s="58"/>
      <x:c r="E123" s="58"/>
      <x:c r="F123" s="91"/>
      <x:c r="G123" s="91"/>
      <x:c r="H123" s="91" t="str">
        <x:f>IF($F123="","",IFERROR(VALUE(LEFT($G123,FIND("/",$G123)-1))/100*$F123,$F123/2))</x:f>
      </x:c>
      <x:c r="I123" s="91" t="str">
        <x:f>IF($F123="","",IFERROR(VALUE(MID($G123,FIND("/",$G123)+1,99))/100*$F123,$F123/2))</x:f>
      </x:c>
      <x:c r="J123" s="58"/>
      <x:c r="K123" s="58"/>
    </x:row>
    <x:row r="124">
      <x:c r="A124" s="58" t="str">
        <x:f>IF(B124="","",ROW()-1)</x:f>
      </x:c>
      <x:c r="B124" s="89"/>
      <x:c r="C124" s="58"/>
      <x:c r="D124" s="58"/>
      <x:c r="E124" s="58"/>
      <x:c r="F124" s="91"/>
      <x:c r="G124" s="91"/>
      <x:c r="H124" s="91" t="str">
        <x:f>IF($F124="","",IFERROR(VALUE(LEFT($G124,FIND("/",$G124)-1))/100*$F124,$F124/2))</x:f>
      </x:c>
      <x:c r="I124" s="91" t="str">
        <x:f>IF($F124="","",IFERROR(VALUE(MID($G124,FIND("/",$G124)+1,99))/100*$F124,$F124/2))</x:f>
      </x:c>
      <x:c r="J124" s="58"/>
      <x:c r="K124" s="58"/>
    </x:row>
    <x:row r="125">
      <x:c r="A125" s="58" t="str">
        <x:f>IF(B125="","",ROW()-1)</x:f>
      </x:c>
      <x:c r="B125" s="89"/>
      <x:c r="C125" s="58"/>
      <x:c r="D125" s="58"/>
      <x:c r="E125" s="58"/>
      <x:c r="F125" s="91"/>
      <x:c r="G125" s="91"/>
      <x:c r="H125" s="91" t="str">
        <x:f>IF($F125="","",IFERROR(VALUE(LEFT($G125,FIND("/",$G125)-1))/100*$F125,$F125/2))</x:f>
      </x:c>
      <x:c r="I125" s="91" t="str">
        <x:f>IF($F125="","",IFERROR(VALUE(MID($G125,FIND("/",$G125)+1,99))/100*$F125,$F125/2))</x:f>
      </x:c>
      <x:c r="J125" s="58"/>
      <x:c r="K125" s="58"/>
    </x:row>
    <x:row r="126">
      <x:c r="A126" s="58" t="str">
        <x:f>IF(B126="","",ROW()-1)</x:f>
      </x:c>
      <x:c r="B126" s="89"/>
      <x:c r="C126" s="58"/>
      <x:c r="D126" s="58"/>
      <x:c r="E126" s="58"/>
      <x:c r="F126" s="91"/>
      <x:c r="G126" s="91"/>
      <x:c r="H126" s="91" t="str">
        <x:f>IF($F126="","",IFERROR(VALUE(LEFT($G126,FIND("/",$G126)-1))/100*$F126,$F126/2))</x:f>
      </x:c>
      <x:c r="I126" s="91" t="str">
        <x:f>IF($F126="","",IFERROR(VALUE(MID($G126,FIND("/",$G126)+1,99))/100*$F126,$F126/2))</x:f>
      </x:c>
      <x:c r="J126" s="58"/>
      <x:c r="K126" s="58"/>
    </x:row>
    <x:row r="127">
      <x:c r="A127" s="58" t="str">
        <x:f>IF(B127="","",ROW()-1)</x:f>
      </x:c>
      <x:c r="B127" s="89"/>
      <x:c r="C127" s="58"/>
      <x:c r="D127" s="58"/>
      <x:c r="E127" s="58"/>
      <x:c r="F127" s="91"/>
      <x:c r="G127" s="91"/>
      <x:c r="H127" s="91" t="str">
        <x:f>IF($F127="","",IFERROR(VALUE(LEFT($G127,FIND("/",$G127)-1))/100*$F127,$F127/2))</x:f>
      </x:c>
      <x:c r="I127" s="91" t="str">
        <x:f>IF($F127="","",IFERROR(VALUE(MID($G127,FIND("/",$G127)+1,99))/100*$F127,$F127/2))</x:f>
      </x:c>
      <x:c r="J127" s="58"/>
      <x:c r="K127" s="58"/>
    </x:row>
    <x:row r="128">
      <x:c r="A128" s="58" t="str">
        <x:f>IF(B128="","",ROW()-1)</x:f>
      </x:c>
      <x:c r="B128" s="89"/>
      <x:c r="C128" s="58"/>
      <x:c r="D128" s="58"/>
      <x:c r="E128" s="58"/>
      <x:c r="F128" s="91"/>
      <x:c r="G128" s="91"/>
      <x:c r="H128" s="91" t="str">
        <x:f>IF($F128="","",IFERROR(VALUE(LEFT($G128,FIND("/",$G128)-1))/100*$F128,$F128/2))</x:f>
      </x:c>
      <x:c r="I128" s="91" t="str">
        <x:f>IF($F128="","",IFERROR(VALUE(MID($G128,FIND("/",$G128)+1,99))/100*$F128,$F128/2))</x:f>
      </x:c>
      <x:c r="J128" s="58"/>
      <x:c r="K128" s="58"/>
    </x:row>
    <x:row r="129">
      <x:c r="A129" s="58" t="str">
        <x:f>IF(B129="","",ROW()-1)</x:f>
      </x:c>
      <x:c r="B129" s="89"/>
      <x:c r="C129" s="58"/>
      <x:c r="D129" s="58"/>
      <x:c r="E129" s="58"/>
      <x:c r="F129" s="91"/>
      <x:c r="G129" s="91"/>
      <x:c r="H129" s="91" t="str">
        <x:f>IF($F129="","",IFERROR(VALUE(LEFT($G129,FIND("/",$G129)-1))/100*$F129,$F129/2))</x:f>
      </x:c>
      <x:c r="I129" s="91" t="str">
        <x:f>IF($F129="","",IFERROR(VALUE(MID($G129,FIND("/",$G129)+1,99))/100*$F129,$F129/2))</x:f>
      </x:c>
      <x:c r="J129" s="58"/>
      <x:c r="K129" s="58"/>
    </x:row>
    <x:row r="130">
      <x:c r="A130" s="58" t="str">
        <x:f>IF(B130="","",ROW()-1)</x:f>
      </x:c>
      <x:c r="B130" s="89"/>
      <x:c r="C130" s="58"/>
      <x:c r="D130" s="58"/>
      <x:c r="E130" s="58"/>
      <x:c r="F130" s="91"/>
      <x:c r="G130" s="91"/>
      <x:c r="H130" s="91" t="str">
        <x:f>IF($F130="","",IFERROR(VALUE(LEFT($G130,FIND("/",$G130)-1))/100*$F130,$F130/2))</x:f>
      </x:c>
      <x:c r="I130" s="91" t="str">
        <x:f>IF($F130="","",IFERROR(VALUE(MID($G130,FIND("/",$G130)+1,99))/100*$F130,$F130/2))</x:f>
      </x:c>
      <x:c r="J130" s="58"/>
      <x:c r="K130" s="58"/>
    </x:row>
    <x:row r="131">
      <x:c r="A131" s="58" t="str">
        <x:f>IF(B131="","",ROW()-1)</x:f>
      </x:c>
      <x:c r="B131" s="89"/>
      <x:c r="C131" s="58"/>
      <x:c r="D131" s="58"/>
      <x:c r="E131" s="58"/>
      <x:c r="F131" s="91"/>
      <x:c r="G131" s="91"/>
      <x:c r="H131" s="91" t="str">
        <x:f>IF($F131="","",IFERROR(VALUE(LEFT($G131,FIND("/",$G131)-1))/100*$F131,$F131/2))</x:f>
      </x:c>
      <x:c r="I131" s="91" t="str">
        <x:f>IF($F131="","",IFERROR(VALUE(MID($G131,FIND("/",$G131)+1,99))/100*$F131,$F131/2))</x:f>
      </x:c>
      <x:c r="J131" s="58"/>
      <x:c r="K131" s="58"/>
    </x:row>
    <x:row r="132">
      <x:c r="A132" s="58" t="str">
        <x:f>IF(B132="","",ROW()-1)</x:f>
      </x:c>
      <x:c r="B132" s="89"/>
      <x:c r="C132" s="58"/>
      <x:c r="D132" s="58"/>
      <x:c r="E132" s="58"/>
      <x:c r="F132" s="91"/>
      <x:c r="G132" s="91"/>
      <x:c r="H132" s="91" t="str">
        <x:f>IF($F132="","",IFERROR(VALUE(LEFT($G132,FIND("/",$G132)-1))/100*$F132,$F132/2))</x:f>
      </x:c>
      <x:c r="I132" s="91" t="str">
        <x:f>IF($F132="","",IFERROR(VALUE(MID($G132,FIND("/",$G132)+1,99))/100*$F132,$F132/2))</x:f>
      </x:c>
      <x:c r="J132" s="58"/>
      <x:c r="K132" s="58"/>
    </x:row>
    <x:row r="133">
      <x:c r="A133" s="58" t="str">
        <x:f>IF(B133="","",ROW()-1)</x:f>
      </x:c>
      <x:c r="B133" s="89"/>
      <x:c r="C133" s="58"/>
      <x:c r="D133" s="58"/>
      <x:c r="E133" s="58"/>
      <x:c r="F133" s="91"/>
      <x:c r="G133" s="91"/>
      <x:c r="H133" s="91" t="str">
        <x:f>IF($F133="","",IFERROR(VALUE(LEFT($G133,FIND("/",$G133)-1))/100*$F133,$F133/2))</x:f>
      </x:c>
      <x:c r="I133" s="91" t="str">
        <x:f>IF($F133="","",IFERROR(VALUE(MID($G133,FIND("/",$G133)+1,99))/100*$F133,$F133/2))</x:f>
      </x:c>
      <x:c r="J133" s="58"/>
      <x:c r="K133" s="58"/>
    </x:row>
    <x:row r="134">
      <x:c r="A134" s="58" t="str">
        <x:f>IF(B134="","",ROW()-1)</x:f>
      </x:c>
      <x:c r="B134" s="89"/>
      <x:c r="C134" s="58"/>
      <x:c r="D134" s="58"/>
      <x:c r="E134" s="58"/>
      <x:c r="F134" s="91"/>
      <x:c r="G134" s="91"/>
      <x:c r="H134" s="91" t="str">
        <x:f>IF($F134="","",IFERROR(VALUE(LEFT($G134,FIND("/",$G134)-1))/100*$F134,$F134/2))</x:f>
      </x:c>
      <x:c r="I134" s="91" t="str">
        <x:f>IF($F134="","",IFERROR(VALUE(MID($G134,FIND("/",$G134)+1,99))/100*$F134,$F134/2))</x:f>
      </x:c>
      <x:c r="J134" s="58"/>
      <x:c r="K134" s="58"/>
    </x:row>
    <x:row r="135">
      <x:c r="A135" s="58" t="str">
        <x:f>IF(B135="","",ROW()-1)</x:f>
      </x:c>
      <x:c r="B135" s="89"/>
      <x:c r="C135" s="58"/>
      <x:c r="D135" s="58"/>
      <x:c r="E135" s="58"/>
      <x:c r="F135" s="91"/>
      <x:c r="G135" s="91"/>
      <x:c r="H135" s="91" t="str">
        <x:f>IF($F135="","",IFERROR(VALUE(LEFT($G135,FIND("/",$G135)-1))/100*$F135,$F135/2))</x:f>
      </x:c>
      <x:c r="I135" s="91" t="str">
        <x:f>IF($F135="","",IFERROR(VALUE(MID($G135,FIND("/",$G135)+1,99))/100*$F135,$F135/2))</x:f>
      </x:c>
      <x:c r="J135" s="58"/>
      <x:c r="K135" s="58"/>
    </x:row>
    <x:row r="136">
      <x:c r="A136" s="58" t="str">
        <x:f>IF(B136="","",ROW()-1)</x:f>
      </x:c>
      <x:c r="B136" s="89"/>
      <x:c r="C136" s="58"/>
      <x:c r="D136" s="58"/>
      <x:c r="E136" s="58"/>
      <x:c r="F136" s="91"/>
      <x:c r="G136" s="91"/>
      <x:c r="H136" s="91" t="str">
        <x:f>IF($F136="","",IFERROR(VALUE(LEFT($G136,FIND("/",$G136)-1))/100*$F136,$F136/2))</x:f>
      </x:c>
      <x:c r="I136" s="91" t="str">
        <x:f>IF($F136="","",IFERROR(VALUE(MID($G136,FIND("/",$G136)+1,99))/100*$F136,$F136/2))</x:f>
      </x:c>
      <x:c r="J136" s="58"/>
      <x:c r="K136" s="58"/>
    </x:row>
    <x:row r="137">
      <x:c r="A137" s="58" t="str">
        <x:f>IF(B137="","",ROW()-1)</x:f>
      </x:c>
      <x:c r="B137" s="89"/>
      <x:c r="C137" s="58"/>
      <x:c r="D137" s="58"/>
      <x:c r="E137" s="58"/>
      <x:c r="F137" s="91"/>
      <x:c r="G137" s="91"/>
      <x:c r="H137" s="91" t="str">
        <x:f>IF($F137="","",IFERROR(VALUE(LEFT($G137,FIND("/",$G137)-1))/100*$F137,$F137/2))</x:f>
      </x:c>
      <x:c r="I137" s="91" t="str">
        <x:f>IF($F137="","",IFERROR(VALUE(MID($G137,FIND("/",$G137)+1,99))/100*$F137,$F137/2))</x:f>
      </x:c>
      <x:c r="J137" s="58"/>
      <x:c r="K137" s="58"/>
    </x:row>
    <x:row r="138">
      <x:c r="A138" s="58" t="str">
        <x:f>IF(B138="","",ROW()-1)</x:f>
      </x:c>
      <x:c r="B138" s="89"/>
      <x:c r="C138" s="58"/>
      <x:c r="D138" s="58"/>
      <x:c r="E138" s="58"/>
      <x:c r="F138" s="91"/>
      <x:c r="G138" s="91"/>
      <x:c r="H138" s="91" t="str">
        <x:f>IF($F138="","",IFERROR(VALUE(LEFT($G138,FIND("/",$G138)-1))/100*$F138,$F138/2))</x:f>
      </x:c>
      <x:c r="I138" s="91" t="str">
        <x:f>IF($F138="","",IFERROR(VALUE(MID($G138,FIND("/",$G138)+1,99))/100*$F138,$F138/2))</x:f>
      </x:c>
      <x:c r="J138" s="58"/>
      <x:c r="K138" s="58"/>
    </x:row>
    <x:row r="139">
      <x:c r="A139" s="58" t="str">
        <x:f>IF(B139="","",ROW()-1)</x:f>
      </x:c>
      <x:c r="B139" s="89"/>
      <x:c r="C139" s="58"/>
      <x:c r="D139" s="58"/>
      <x:c r="E139" s="58"/>
      <x:c r="F139" s="91"/>
      <x:c r="G139" s="91"/>
      <x:c r="H139" s="91" t="str">
        <x:f>IF($F139="","",IFERROR(VALUE(LEFT($G139,FIND("/",$G139)-1))/100*$F139,$F139/2))</x:f>
      </x:c>
      <x:c r="I139" s="91" t="str">
        <x:f>IF($F139="","",IFERROR(VALUE(MID($G139,FIND("/",$G139)+1,99))/100*$F139,$F139/2))</x:f>
      </x:c>
      <x:c r="J139" s="58"/>
      <x:c r="K139" s="58"/>
    </x:row>
    <x:row r="140">
      <x:c r="A140" s="58" t="str">
        <x:f>IF(B140="","",ROW()-1)</x:f>
      </x:c>
      <x:c r="B140" s="89"/>
      <x:c r="C140" s="58"/>
      <x:c r="D140" s="58"/>
      <x:c r="E140" s="58"/>
      <x:c r="F140" s="91"/>
      <x:c r="G140" s="91"/>
      <x:c r="H140" s="91" t="str">
        <x:f>IF($F140="","",IFERROR(VALUE(LEFT($G140,FIND("/",$G140)-1))/100*$F140,$F140/2))</x:f>
      </x:c>
      <x:c r="I140" s="91" t="str">
        <x:f>IF($F140="","",IFERROR(VALUE(MID($G140,FIND("/",$G140)+1,99))/100*$F140,$F140/2))</x:f>
      </x:c>
      <x:c r="J140" s="58"/>
      <x:c r="K140" s="58"/>
    </x:row>
    <x:row r="141">
      <x:c r="A141" s="58" t="str">
        <x:f>IF(B141="","",ROW()-1)</x:f>
      </x:c>
      <x:c r="B141" s="89"/>
      <x:c r="C141" s="58"/>
      <x:c r="D141" s="58"/>
      <x:c r="E141" s="58"/>
      <x:c r="F141" s="91"/>
      <x:c r="G141" s="91"/>
      <x:c r="H141" s="91" t="str">
        <x:f>IF($F141="","",IFERROR(VALUE(LEFT($G141,FIND("/",$G141)-1))/100*$F141,$F141/2))</x:f>
      </x:c>
      <x:c r="I141" s="91" t="str">
        <x:f>IF($F141="","",IFERROR(VALUE(MID($G141,FIND("/",$G141)+1,99))/100*$F141,$F141/2))</x:f>
      </x:c>
      <x:c r="J141" s="58"/>
      <x:c r="K141" s="58"/>
    </x:row>
    <x:row r="142">
      <x:c r="A142" s="58" t="str">
        <x:f>IF(B142="","",ROW()-1)</x:f>
      </x:c>
      <x:c r="B142" s="89"/>
      <x:c r="C142" s="58"/>
      <x:c r="D142" s="58"/>
      <x:c r="E142" s="58"/>
      <x:c r="F142" s="91"/>
      <x:c r="G142" s="91"/>
      <x:c r="H142" s="91" t="str">
        <x:f>IF($F142="","",IFERROR(VALUE(LEFT($G142,FIND("/",$G142)-1))/100*$F142,$F142/2))</x:f>
      </x:c>
      <x:c r="I142" s="91" t="str">
        <x:f>IF($F142="","",IFERROR(VALUE(MID($G142,FIND("/",$G142)+1,99))/100*$F142,$F142/2))</x:f>
      </x:c>
      <x:c r="J142" s="58"/>
      <x:c r="K142" s="58"/>
    </x:row>
    <x:row r="143">
      <x:c r="A143" s="58" t="str">
        <x:f>IF(B143="","",ROW()-1)</x:f>
      </x:c>
      <x:c r="B143" s="89"/>
      <x:c r="C143" s="58"/>
      <x:c r="D143" s="58"/>
      <x:c r="E143" s="58"/>
      <x:c r="F143" s="91"/>
      <x:c r="G143" s="91"/>
      <x:c r="H143" s="91" t="str">
        <x:f>IF($F143="","",IFERROR(VALUE(LEFT($G143,FIND("/",$G143)-1))/100*$F143,$F143/2))</x:f>
      </x:c>
      <x:c r="I143" s="91" t="str">
        <x:f>IF($F143="","",IFERROR(VALUE(MID($G143,FIND("/",$G143)+1,99))/100*$F143,$F143/2))</x:f>
      </x:c>
      <x:c r="J143" s="58"/>
      <x:c r="K143" s="58"/>
    </x:row>
    <x:row r="144">
      <x:c r="A144" s="58" t="str">
        <x:f>IF(B144="","",ROW()-1)</x:f>
      </x:c>
      <x:c r="B144" s="89"/>
      <x:c r="C144" s="58"/>
      <x:c r="D144" s="58"/>
      <x:c r="E144" s="58"/>
      <x:c r="F144" s="91"/>
      <x:c r="G144" s="91"/>
      <x:c r="H144" s="91" t="str">
        <x:f>IF($F144="","",IFERROR(VALUE(LEFT($G144,FIND("/",$G144)-1))/100*$F144,$F144/2))</x:f>
      </x:c>
      <x:c r="I144" s="91" t="str">
        <x:f>IF($F144="","",IFERROR(VALUE(MID($G144,FIND("/",$G144)+1,99))/100*$F144,$F144/2))</x:f>
      </x:c>
      <x:c r="J144" s="58"/>
      <x:c r="K144" s="58"/>
    </x:row>
    <x:row r="145">
      <x:c r="A145" s="58" t="str">
        <x:f>IF(B145="","",ROW()-1)</x:f>
      </x:c>
      <x:c r="B145" s="89"/>
      <x:c r="C145" s="58"/>
      <x:c r="D145" s="58"/>
      <x:c r="E145" s="58"/>
      <x:c r="F145" s="91"/>
      <x:c r="G145" s="91"/>
      <x:c r="H145" s="91" t="str">
        <x:f>IF($F145="","",IFERROR(VALUE(LEFT($G145,FIND("/",$G145)-1))/100*$F145,$F145/2))</x:f>
      </x:c>
      <x:c r="I145" s="91" t="str">
        <x:f>IF($F145="","",IFERROR(VALUE(MID($G145,FIND("/",$G145)+1,99))/100*$F145,$F145/2))</x:f>
      </x:c>
      <x:c r="J145" s="58"/>
      <x:c r="K145" s="58"/>
    </x:row>
    <x:row r="146">
      <x:c r="A146" s="58" t="str">
        <x:f>IF(B146="","",ROW()-1)</x:f>
      </x:c>
      <x:c r="B146" s="89"/>
      <x:c r="C146" s="58"/>
      <x:c r="D146" s="58"/>
      <x:c r="E146" s="58"/>
      <x:c r="F146" s="91"/>
      <x:c r="G146" s="91"/>
      <x:c r="H146" s="91" t="str">
        <x:f>IF($F146="","",IFERROR(VALUE(LEFT($G146,FIND("/",$G146)-1))/100*$F146,$F146/2))</x:f>
      </x:c>
      <x:c r="I146" s="91" t="str">
        <x:f>IF($F146="","",IFERROR(VALUE(MID($G146,FIND("/",$G146)+1,99))/100*$F146,$F146/2))</x:f>
      </x:c>
      <x:c r="J146" s="58"/>
      <x:c r="K146" s="58"/>
    </x:row>
    <x:row r="147">
      <x:c r="A147" s="58" t="str">
        <x:f>IF(B147="","",ROW()-1)</x:f>
      </x:c>
      <x:c r="B147" s="89"/>
      <x:c r="C147" s="58"/>
      <x:c r="D147" s="58"/>
      <x:c r="E147" s="58"/>
      <x:c r="F147" s="91"/>
      <x:c r="G147" s="91"/>
      <x:c r="H147" s="91" t="str">
        <x:f>IF($F147="","",IFERROR(VALUE(LEFT($G147,FIND("/",$G147)-1))/100*$F147,$F147/2))</x:f>
      </x:c>
      <x:c r="I147" s="91" t="str">
        <x:f>IF($F147="","",IFERROR(VALUE(MID($G147,FIND("/",$G147)+1,99))/100*$F147,$F147/2))</x:f>
      </x:c>
      <x:c r="J147" s="58"/>
      <x:c r="K147" s="58"/>
    </x:row>
    <x:row r="148">
      <x:c r="A148" s="58" t="str">
        <x:f>IF(B148="","",ROW()-1)</x:f>
      </x:c>
      <x:c r="B148" s="89"/>
      <x:c r="C148" s="58"/>
      <x:c r="D148" s="58"/>
      <x:c r="E148" s="58"/>
      <x:c r="F148" s="91"/>
      <x:c r="G148" s="91"/>
      <x:c r="H148" s="91" t="str">
        <x:f>IF($F148="","",IFERROR(VALUE(LEFT($G148,FIND("/",$G148)-1))/100*$F148,$F148/2))</x:f>
      </x:c>
      <x:c r="I148" s="91" t="str">
        <x:f>IF($F148="","",IFERROR(VALUE(MID($G148,FIND("/",$G148)+1,99))/100*$F148,$F148/2))</x:f>
      </x:c>
      <x:c r="J148" s="58"/>
      <x:c r="K148" s="58"/>
    </x:row>
    <x:row r="149">
      <x:c r="A149" s="58" t="str">
        <x:f>IF(B149="","",ROW()-1)</x:f>
      </x:c>
      <x:c r="B149" s="89"/>
      <x:c r="C149" s="58"/>
      <x:c r="D149" s="58"/>
      <x:c r="E149" s="58"/>
      <x:c r="F149" s="91"/>
      <x:c r="G149" s="91"/>
      <x:c r="H149" s="91" t="str">
        <x:f>IF($F149="","",IFERROR(VALUE(LEFT($G149,FIND("/",$G149)-1))/100*$F149,$F149/2))</x:f>
      </x:c>
      <x:c r="I149" s="91" t="str">
        <x:f>IF($F149="","",IFERROR(VALUE(MID($G149,FIND("/",$G149)+1,99))/100*$F149,$F149/2))</x:f>
      </x:c>
      <x:c r="J149" s="58"/>
      <x:c r="K149" s="58"/>
    </x:row>
    <x:row r="150">
      <x:c r="A150" s="58" t="str">
        <x:f>IF(B150="","",ROW()-1)</x:f>
      </x:c>
      <x:c r="B150" s="89"/>
      <x:c r="C150" s="58"/>
      <x:c r="D150" s="58"/>
      <x:c r="E150" s="58"/>
      <x:c r="F150" s="91"/>
      <x:c r="G150" s="91"/>
      <x:c r="H150" s="91" t="str">
        <x:f>IF($F150="","",IFERROR(VALUE(LEFT($G150,FIND("/",$G150)-1))/100*$F150,$F150/2))</x:f>
      </x:c>
      <x:c r="I150" s="91" t="str">
        <x:f>IF($F150="","",IFERROR(VALUE(MID($G150,FIND("/",$G150)+1,99))/100*$F150,$F150/2))</x:f>
      </x:c>
      <x:c r="J150" s="58"/>
      <x:c r="K150" s="58"/>
    </x:row>
    <x:row r="151">
      <x:c r="A151" s="58" t="str">
        <x:f>IF(B151="","",ROW()-1)</x:f>
      </x:c>
      <x:c r="B151" s="89"/>
      <x:c r="C151" s="58"/>
      <x:c r="D151" s="58"/>
      <x:c r="E151" s="58"/>
      <x:c r="F151" s="91"/>
      <x:c r="G151" s="91"/>
      <x:c r="H151" s="91" t="str">
        <x:f>IF($F151="","",IFERROR(VALUE(LEFT($G151,FIND("/",$G151)-1))/100*$F151,$F151/2))</x:f>
      </x:c>
      <x:c r="I151" s="91" t="str">
        <x:f>IF($F151="","",IFERROR(VALUE(MID($G151,FIND("/",$G151)+1,99))/100*$F151,$F151/2))</x:f>
      </x:c>
      <x:c r="J151" s="58"/>
      <x:c r="K151" s="58"/>
    </x:row>
    <x:row r="152">
      <x:c r="A152" s="58" t="str">
        <x:f>IF(B152="","",ROW()-1)</x:f>
      </x:c>
      <x:c r="B152" s="89"/>
      <x:c r="C152" s="58"/>
      <x:c r="D152" s="58"/>
      <x:c r="E152" s="58"/>
      <x:c r="F152" s="91"/>
      <x:c r="G152" s="91"/>
      <x:c r="H152" s="91" t="str">
        <x:f>IF($F152="","",IFERROR(VALUE(LEFT($G152,FIND("/",$G152)-1))/100*$F152,$F152/2))</x:f>
      </x:c>
      <x:c r="I152" s="91" t="str">
        <x:f>IF($F152="","",IFERROR(VALUE(MID($G152,FIND("/",$G152)+1,99))/100*$F152,$F152/2))</x:f>
      </x:c>
      <x:c r="J152" s="58"/>
      <x:c r="K152" s="58"/>
    </x:row>
    <x:row r="153">
      <x:c r="A153" s="58" t="str">
        <x:f>IF(B153="","",ROW()-1)</x:f>
      </x:c>
      <x:c r="B153" s="89"/>
      <x:c r="C153" s="58"/>
      <x:c r="D153" s="58"/>
      <x:c r="E153" s="58"/>
      <x:c r="F153" s="91"/>
      <x:c r="G153" s="91"/>
      <x:c r="H153" s="91" t="str">
        <x:f>IF($F153="","",IFERROR(VALUE(LEFT($G153,FIND("/",$G153)-1))/100*$F153,$F153/2))</x:f>
      </x:c>
      <x:c r="I153" s="91" t="str">
        <x:f>IF($F153="","",IFERROR(VALUE(MID($G153,FIND("/",$G153)+1,99))/100*$F153,$F153/2))</x:f>
      </x:c>
      <x:c r="J153" s="58"/>
      <x:c r="K153" s="58"/>
    </x:row>
    <x:row r="154">
      <x:c r="A154" s="58" t="str">
        <x:f>IF(B154="","",ROW()-1)</x:f>
      </x:c>
      <x:c r="B154" s="89"/>
      <x:c r="C154" s="58"/>
      <x:c r="D154" s="58"/>
      <x:c r="E154" s="58"/>
      <x:c r="F154" s="91"/>
      <x:c r="G154" s="91"/>
      <x:c r="H154" s="91" t="str">
        <x:f>IF($F154="","",IFERROR(VALUE(LEFT($G154,FIND("/",$G154)-1))/100*$F154,$F154/2))</x:f>
      </x:c>
      <x:c r="I154" s="91" t="str">
        <x:f>IF($F154="","",IFERROR(VALUE(MID($G154,FIND("/",$G154)+1,99))/100*$F154,$F154/2))</x:f>
      </x:c>
      <x:c r="J154" s="58"/>
      <x:c r="K154" s="58"/>
    </x:row>
    <x:row r="155">
      <x:c r="A155" s="58" t="str">
        <x:f>IF(B155="","",ROW()-1)</x:f>
      </x:c>
      <x:c r="B155" s="89"/>
      <x:c r="C155" s="58"/>
      <x:c r="D155" s="58"/>
      <x:c r="E155" s="58"/>
      <x:c r="F155" s="91"/>
      <x:c r="G155" s="91"/>
      <x:c r="H155" s="91" t="str">
        <x:f>IF($F155="","",IFERROR(VALUE(LEFT($G155,FIND("/",$G155)-1))/100*$F155,$F155/2))</x:f>
      </x:c>
      <x:c r="I155" s="91" t="str">
        <x:f>IF($F155="","",IFERROR(VALUE(MID($G155,FIND("/",$G155)+1,99))/100*$F155,$F155/2))</x:f>
      </x:c>
      <x:c r="J155" s="58"/>
      <x:c r="K155" s="58"/>
    </x:row>
    <x:row r="156">
      <x:c r="A156" s="58" t="str">
        <x:f>IF(B156="","",ROW()-1)</x:f>
      </x:c>
      <x:c r="B156" s="89"/>
      <x:c r="C156" s="58"/>
      <x:c r="D156" s="58"/>
      <x:c r="E156" s="58"/>
      <x:c r="F156" s="91"/>
      <x:c r="G156" s="91"/>
      <x:c r="H156" s="91" t="str">
        <x:f>IF($F156="","",IFERROR(VALUE(LEFT($G156,FIND("/",$G156)-1))/100*$F156,$F156/2))</x:f>
      </x:c>
      <x:c r="I156" s="91" t="str">
        <x:f>IF($F156="","",IFERROR(VALUE(MID($G156,FIND("/",$G156)+1,99))/100*$F156,$F156/2))</x:f>
      </x:c>
      <x:c r="J156" s="58"/>
      <x:c r="K156" s="58"/>
    </x:row>
    <x:row r="157">
      <x:c r="A157" s="58" t="str">
        <x:f>IF(B157="","",ROW()-1)</x:f>
      </x:c>
      <x:c r="B157" s="89"/>
      <x:c r="C157" s="58"/>
      <x:c r="D157" s="58"/>
      <x:c r="E157" s="58"/>
      <x:c r="F157" s="91"/>
      <x:c r="G157" s="91"/>
      <x:c r="H157" s="91" t="str">
        <x:f>IF($F157="","",IFERROR(VALUE(LEFT($G157,FIND("/",$G157)-1))/100*$F157,$F157/2))</x:f>
      </x:c>
      <x:c r="I157" s="91" t="str">
        <x:f>IF($F157="","",IFERROR(VALUE(MID($G157,FIND("/",$G157)+1,99))/100*$F157,$F157/2))</x:f>
      </x:c>
      <x:c r="J157" s="58"/>
      <x:c r="K157" s="58"/>
    </x:row>
    <x:row r="158">
      <x:c r="A158" s="58" t="str">
        <x:f>IF(B158="","",ROW()-1)</x:f>
      </x:c>
      <x:c r="B158" s="89"/>
      <x:c r="C158" s="58"/>
      <x:c r="D158" s="58"/>
      <x:c r="E158" s="58"/>
      <x:c r="F158" s="91"/>
      <x:c r="G158" s="91"/>
      <x:c r="H158" s="91" t="str">
        <x:f>IF($F158="","",IFERROR(VALUE(LEFT($G158,FIND("/",$G158)-1))/100*$F158,$F158/2))</x:f>
      </x:c>
      <x:c r="I158" s="91" t="str">
        <x:f>IF($F158="","",IFERROR(VALUE(MID($G158,FIND("/",$G158)+1,99))/100*$F158,$F158/2))</x:f>
      </x:c>
      <x:c r="J158" s="58"/>
      <x:c r="K158" s="58"/>
    </x:row>
    <x:row r="159">
      <x:c r="A159" s="58" t="str">
        <x:f>IF(B159="","",ROW()-1)</x:f>
      </x:c>
      <x:c r="B159" s="89"/>
      <x:c r="C159" s="58"/>
      <x:c r="D159" s="58"/>
      <x:c r="E159" s="58"/>
      <x:c r="F159" s="91"/>
      <x:c r="G159" s="91"/>
      <x:c r="H159" s="91" t="str">
        <x:f>IF($F159="","",IFERROR(VALUE(LEFT($G159,FIND("/",$G159)-1))/100*$F159,$F159/2))</x:f>
      </x:c>
      <x:c r="I159" s="91" t="str">
        <x:f>IF($F159="","",IFERROR(VALUE(MID($G159,FIND("/",$G159)+1,99))/100*$F159,$F159/2))</x:f>
      </x:c>
      <x:c r="J159" s="58"/>
      <x:c r="K159" s="58"/>
    </x:row>
    <x:row r="160">
      <x:c r="A160" s="58" t="str">
        <x:f>IF(B160="","",ROW()-1)</x:f>
      </x:c>
      <x:c r="B160" s="89"/>
      <x:c r="C160" s="58"/>
      <x:c r="D160" s="58"/>
      <x:c r="E160" s="58"/>
      <x:c r="F160" s="91"/>
      <x:c r="G160" s="91"/>
      <x:c r="H160" s="91" t="str">
        <x:f>IF($F160="","",IFERROR(VALUE(LEFT($G160,FIND("/",$G160)-1))/100*$F160,$F160/2))</x:f>
      </x:c>
      <x:c r="I160" s="91" t="str">
        <x:f>IF($F160="","",IFERROR(VALUE(MID($G160,FIND("/",$G160)+1,99))/100*$F160,$F160/2))</x:f>
      </x:c>
      <x:c r="J160" s="58"/>
      <x:c r="K160" s="58"/>
    </x:row>
    <x:row r="161">
      <x:c r="A161" s="58" t="str">
        <x:f>IF(B161="","",ROW()-1)</x:f>
      </x:c>
      <x:c r="B161" s="89"/>
      <x:c r="C161" s="58"/>
      <x:c r="D161" s="58"/>
      <x:c r="E161" s="58"/>
      <x:c r="F161" s="91"/>
      <x:c r="G161" s="91"/>
      <x:c r="H161" s="91" t="str">
        <x:f>IF($F161="","",IFERROR(VALUE(LEFT($G161,FIND("/",$G161)-1))/100*$F161,$F161/2))</x:f>
      </x:c>
      <x:c r="I161" s="91" t="str">
        <x:f>IF($F161="","",IFERROR(VALUE(MID($G161,FIND("/",$G161)+1,99))/100*$F161,$F161/2))</x:f>
      </x:c>
      <x:c r="J161" s="58"/>
      <x:c r="K161" s="58"/>
    </x:row>
    <x:row r="162">
      <x:c r="A162" s="58" t="str">
        <x:f>IF(B162="","",ROW()-1)</x:f>
      </x:c>
      <x:c r="B162" s="89"/>
      <x:c r="C162" s="58"/>
      <x:c r="D162" s="58"/>
      <x:c r="E162" s="58"/>
      <x:c r="F162" s="91"/>
      <x:c r="G162" s="91"/>
      <x:c r="H162" s="91" t="str">
        <x:f>IF($F162="","",IFERROR(VALUE(LEFT($G162,FIND("/",$G162)-1))/100*$F162,$F162/2))</x:f>
      </x:c>
      <x:c r="I162" s="91" t="str">
        <x:f>IF($F162="","",IFERROR(VALUE(MID($G162,FIND("/",$G162)+1,99))/100*$F162,$F162/2))</x:f>
      </x:c>
      <x:c r="J162" s="58"/>
      <x:c r="K162" s="58"/>
    </x:row>
    <x:row r="163">
      <x:c r="A163" s="58" t="str">
        <x:f>IF(B163="","",ROW()-1)</x:f>
      </x:c>
      <x:c r="B163" s="89"/>
      <x:c r="C163" s="58"/>
      <x:c r="D163" s="58"/>
      <x:c r="E163" s="58"/>
      <x:c r="F163" s="91"/>
      <x:c r="G163" s="91"/>
      <x:c r="H163" s="91" t="str">
        <x:f>IF($F163="","",IFERROR(VALUE(LEFT($G163,FIND("/",$G163)-1))/100*$F163,$F163/2))</x:f>
      </x:c>
      <x:c r="I163" s="91" t="str">
        <x:f>IF($F163="","",IFERROR(VALUE(MID($G163,FIND("/",$G163)+1,99))/100*$F163,$F163/2))</x:f>
      </x:c>
      <x:c r="J163" s="58"/>
      <x:c r="K163" s="58"/>
    </x:row>
    <x:row r="164">
      <x:c r="A164" s="58" t="str">
        <x:f>IF(B164="","",ROW()-1)</x:f>
      </x:c>
      <x:c r="B164" s="89"/>
      <x:c r="C164" s="58"/>
      <x:c r="D164" s="58"/>
      <x:c r="E164" s="58"/>
      <x:c r="F164" s="91"/>
      <x:c r="G164" s="91"/>
      <x:c r="H164" s="91" t="str">
        <x:f>IF($F164="","",IFERROR(VALUE(LEFT($G164,FIND("/",$G164)-1))/100*$F164,$F164/2))</x:f>
      </x:c>
      <x:c r="I164" s="91" t="str">
        <x:f>IF($F164="","",IFERROR(VALUE(MID($G164,FIND("/",$G164)+1,99))/100*$F164,$F164/2))</x:f>
      </x:c>
      <x:c r="J164" s="58"/>
      <x:c r="K164" s="58"/>
    </x:row>
    <x:row r="165">
      <x:c r="A165" s="58" t="str">
        <x:f>IF(B165="","",ROW()-1)</x:f>
      </x:c>
      <x:c r="B165" s="89"/>
      <x:c r="C165" s="58"/>
      <x:c r="D165" s="58"/>
      <x:c r="E165" s="58"/>
      <x:c r="F165" s="91"/>
      <x:c r="G165" s="91"/>
      <x:c r="H165" s="91" t="str">
        <x:f>IF($F165="","",IFERROR(VALUE(LEFT($G165,FIND("/",$G165)-1))/100*$F165,$F165/2))</x:f>
      </x:c>
      <x:c r="I165" s="91" t="str">
        <x:f>IF($F165="","",IFERROR(VALUE(MID($G165,FIND("/",$G165)+1,99))/100*$F165,$F165/2))</x:f>
      </x:c>
      <x:c r="J165" s="58"/>
      <x:c r="K165" s="58"/>
    </x:row>
    <x:row r="166">
      <x:c r="A166" s="58" t="str">
        <x:f>IF(B166="","",ROW()-1)</x:f>
      </x:c>
      <x:c r="B166" s="89"/>
      <x:c r="C166" s="58"/>
      <x:c r="D166" s="58"/>
      <x:c r="E166" s="58"/>
      <x:c r="F166" s="91"/>
      <x:c r="G166" s="91"/>
      <x:c r="H166" s="91" t="str">
        <x:f>IF($F166="","",IFERROR(VALUE(LEFT($G166,FIND("/",$G166)-1))/100*$F166,$F166/2))</x:f>
      </x:c>
      <x:c r="I166" s="91" t="str">
        <x:f>IF($F166="","",IFERROR(VALUE(MID($G166,FIND("/",$G166)+1,99))/100*$F166,$F166/2))</x:f>
      </x:c>
      <x:c r="J166" s="58"/>
      <x:c r="K166" s="58"/>
    </x:row>
    <x:row r="167">
      <x:c r="A167" s="58" t="str">
        <x:f>IF(B167="","",ROW()-1)</x:f>
      </x:c>
      <x:c r="B167" s="89"/>
      <x:c r="C167" s="58"/>
      <x:c r="D167" s="58"/>
      <x:c r="E167" s="58"/>
      <x:c r="F167" s="91"/>
      <x:c r="G167" s="91"/>
      <x:c r="H167" s="91" t="str">
        <x:f>IF($F167="","",IFERROR(VALUE(LEFT($G167,FIND("/",$G167)-1))/100*$F167,$F167/2))</x:f>
      </x:c>
      <x:c r="I167" s="91" t="str">
        <x:f>IF($F167="","",IFERROR(VALUE(MID($G167,FIND("/",$G167)+1,99))/100*$F167,$F167/2))</x:f>
      </x:c>
      <x:c r="J167" s="58"/>
      <x:c r="K167" s="58"/>
    </x:row>
    <x:row r="168">
      <x:c r="A168" s="58" t="str">
        <x:f>IF(B168="","",ROW()-1)</x:f>
      </x:c>
      <x:c r="B168" s="89"/>
      <x:c r="C168" s="58"/>
      <x:c r="D168" s="58"/>
      <x:c r="E168" s="58"/>
      <x:c r="F168" s="91"/>
      <x:c r="G168" s="91"/>
      <x:c r="H168" s="91" t="str">
        <x:f>IF($F168="","",IFERROR(VALUE(LEFT($G168,FIND("/",$G168)-1))/100*$F168,$F168/2))</x:f>
      </x:c>
      <x:c r="I168" s="91" t="str">
        <x:f>IF($F168="","",IFERROR(VALUE(MID($G168,FIND("/",$G168)+1,99))/100*$F168,$F168/2))</x:f>
      </x:c>
      <x:c r="J168" s="58"/>
      <x:c r="K168" s="58"/>
    </x:row>
    <x:row r="169">
      <x:c r="A169" s="58" t="str">
        <x:f>IF(B169="","",ROW()-1)</x:f>
      </x:c>
      <x:c r="B169" s="89"/>
      <x:c r="C169" s="58"/>
      <x:c r="D169" s="58"/>
      <x:c r="E169" s="58"/>
      <x:c r="F169" s="91"/>
      <x:c r="G169" s="91"/>
      <x:c r="H169" s="91" t="str">
        <x:f>IF($F169="","",IFERROR(VALUE(LEFT($G169,FIND("/",$G169)-1))/100*$F169,$F169/2))</x:f>
      </x:c>
      <x:c r="I169" s="91" t="str">
        <x:f>IF($F169="","",IFERROR(VALUE(MID($G169,FIND("/",$G169)+1,99))/100*$F169,$F169/2))</x:f>
      </x:c>
      <x:c r="J169" s="58"/>
      <x:c r="K169" s="58"/>
    </x:row>
    <x:row r="170">
      <x:c r="A170" s="58" t="str">
        <x:f>IF(B170="","",ROW()-1)</x:f>
      </x:c>
      <x:c r="B170" s="89"/>
      <x:c r="C170" s="58"/>
      <x:c r="D170" s="58"/>
      <x:c r="E170" s="58"/>
      <x:c r="F170" s="91"/>
      <x:c r="G170" s="91"/>
      <x:c r="H170" s="91" t="str">
        <x:f>IF($F170="","",IFERROR(VALUE(LEFT($G170,FIND("/",$G170)-1))/100*$F170,$F170/2))</x:f>
      </x:c>
      <x:c r="I170" s="91" t="str">
        <x:f>IF($F170="","",IFERROR(VALUE(MID($G170,FIND("/",$G170)+1,99))/100*$F170,$F170/2))</x:f>
      </x:c>
      <x:c r="J170" s="58"/>
      <x:c r="K170" s="58"/>
    </x:row>
    <x:row r="171">
      <x:c r="A171" s="58" t="str">
        <x:f>IF(B171="","",ROW()-1)</x:f>
      </x:c>
      <x:c r="B171" s="89"/>
      <x:c r="C171" s="58"/>
      <x:c r="D171" s="58"/>
      <x:c r="E171" s="58"/>
      <x:c r="F171" s="91"/>
      <x:c r="G171" s="91"/>
      <x:c r="H171" s="91" t="str">
        <x:f>IF($F171="","",IFERROR(VALUE(LEFT($G171,FIND("/",$G171)-1))/100*$F171,$F171/2))</x:f>
      </x:c>
      <x:c r="I171" s="91" t="str">
        <x:f>IF($F171="","",IFERROR(VALUE(MID($G171,FIND("/",$G171)+1,99))/100*$F171,$F171/2))</x:f>
      </x:c>
      <x:c r="J171" s="58"/>
      <x:c r="K171" s="58"/>
    </x:row>
    <x:row r="172">
      <x:c r="A172" s="58" t="str">
        <x:f>IF(B172="","",ROW()-1)</x:f>
      </x:c>
      <x:c r="B172" s="89"/>
      <x:c r="C172" s="58"/>
      <x:c r="D172" s="58"/>
      <x:c r="E172" s="58"/>
      <x:c r="F172" s="91"/>
      <x:c r="G172" s="91"/>
      <x:c r="H172" s="91" t="str">
        <x:f>IF($F172="","",IFERROR(VALUE(LEFT($G172,FIND("/",$G172)-1))/100*$F172,$F172/2))</x:f>
      </x:c>
      <x:c r="I172" s="91" t="str">
        <x:f>IF($F172="","",IFERROR(VALUE(MID($G172,FIND("/",$G172)+1,99))/100*$F172,$F172/2))</x:f>
      </x:c>
      <x:c r="J172" s="58"/>
      <x:c r="K172" s="58"/>
    </x:row>
    <x:row r="173">
      <x:c r="A173" s="58" t="str">
        <x:f>IF(B173="","",ROW()-1)</x:f>
      </x:c>
      <x:c r="B173" s="89"/>
      <x:c r="C173" s="58"/>
      <x:c r="D173" s="58"/>
      <x:c r="E173" s="58"/>
      <x:c r="F173" s="91"/>
      <x:c r="G173" s="91"/>
      <x:c r="H173" s="91" t="str">
        <x:f>IF($F173="","",IFERROR(VALUE(LEFT($G173,FIND("/",$G173)-1))/100*$F173,$F173/2))</x:f>
      </x:c>
      <x:c r="I173" s="91" t="str">
        <x:f>IF($F173="","",IFERROR(VALUE(MID($G173,FIND("/",$G173)+1,99))/100*$F173,$F173/2))</x:f>
      </x:c>
      <x:c r="J173" s="58"/>
      <x:c r="K173" s="58"/>
    </x:row>
    <x:row r="174">
      <x:c r="A174" s="58" t="str">
        <x:f>IF(B174="","",ROW()-1)</x:f>
      </x:c>
      <x:c r="B174" s="89"/>
      <x:c r="C174" s="58"/>
      <x:c r="D174" s="58"/>
      <x:c r="E174" s="58"/>
      <x:c r="F174" s="91"/>
      <x:c r="G174" s="91"/>
      <x:c r="H174" s="91" t="str">
        <x:f>IF($F174="","",IFERROR(VALUE(LEFT($G174,FIND("/",$G174)-1))/100*$F174,$F174/2))</x:f>
      </x:c>
      <x:c r="I174" s="91" t="str">
        <x:f>IF($F174="","",IFERROR(VALUE(MID($G174,FIND("/",$G174)+1,99))/100*$F174,$F174/2))</x:f>
      </x:c>
      <x:c r="J174" s="58"/>
      <x:c r="K174" s="58"/>
    </x:row>
    <x:row r="175">
      <x:c r="A175" s="58" t="str">
        <x:f>IF(B175="","",ROW()-1)</x:f>
      </x:c>
      <x:c r="B175" s="89"/>
      <x:c r="C175" s="58"/>
      <x:c r="D175" s="58"/>
      <x:c r="E175" s="58"/>
      <x:c r="F175" s="91"/>
      <x:c r="G175" s="91"/>
      <x:c r="H175" s="91" t="str">
        <x:f>IF($F175="","",IFERROR(VALUE(LEFT($G175,FIND("/",$G175)-1))/100*$F175,$F175/2))</x:f>
      </x:c>
      <x:c r="I175" s="91" t="str">
        <x:f>IF($F175="","",IFERROR(VALUE(MID($G175,FIND("/",$G175)+1,99))/100*$F175,$F175/2))</x:f>
      </x:c>
      <x:c r="J175" s="58"/>
      <x:c r="K175" s="58"/>
    </x:row>
    <x:row r="176">
      <x:c r="A176" s="58" t="str">
        <x:f>IF(B176="","",ROW()-1)</x:f>
      </x:c>
      <x:c r="B176" s="89"/>
      <x:c r="C176" s="58"/>
      <x:c r="D176" s="58"/>
      <x:c r="E176" s="58"/>
      <x:c r="F176" s="91"/>
      <x:c r="G176" s="91"/>
      <x:c r="H176" s="91" t="str">
        <x:f>IF($F176="","",IFERROR(VALUE(LEFT($G176,FIND("/",$G176)-1))/100*$F176,$F176/2))</x:f>
      </x:c>
      <x:c r="I176" s="91" t="str">
        <x:f>IF($F176="","",IFERROR(VALUE(MID($G176,FIND("/",$G176)+1,99))/100*$F176,$F176/2))</x:f>
      </x:c>
      <x:c r="J176" s="58"/>
      <x:c r="K176" s="58"/>
    </x:row>
    <x:row r="177">
      <x:c r="A177" s="58" t="str">
        <x:f>IF(B177="","",ROW()-1)</x:f>
      </x:c>
      <x:c r="B177" s="89"/>
      <x:c r="C177" s="58"/>
      <x:c r="D177" s="58"/>
      <x:c r="E177" s="58"/>
      <x:c r="F177" s="91"/>
      <x:c r="G177" s="91"/>
      <x:c r="H177" s="91" t="str">
        <x:f>IF($F177="","",IFERROR(VALUE(LEFT($G177,FIND("/",$G177)-1))/100*$F177,$F177/2))</x:f>
      </x:c>
      <x:c r="I177" s="91" t="str">
        <x:f>IF($F177="","",IFERROR(VALUE(MID($G177,FIND("/",$G177)+1,99))/100*$F177,$F177/2))</x:f>
      </x:c>
      <x:c r="J177" s="58"/>
      <x:c r="K177" s="58"/>
    </x:row>
    <x:row r="178">
      <x:c r="A178" s="58" t="str">
        <x:f>IF(B178="","",ROW()-1)</x:f>
      </x:c>
      <x:c r="B178" s="89"/>
      <x:c r="C178" s="58"/>
      <x:c r="D178" s="58"/>
      <x:c r="E178" s="58"/>
      <x:c r="F178" s="91"/>
      <x:c r="G178" s="91"/>
      <x:c r="H178" s="91" t="str">
        <x:f>IF($F178="","",IFERROR(VALUE(LEFT($G178,FIND("/",$G178)-1))/100*$F178,$F178/2))</x:f>
      </x:c>
      <x:c r="I178" s="91" t="str">
        <x:f>IF($F178="","",IFERROR(VALUE(MID($G178,FIND("/",$G178)+1,99))/100*$F178,$F178/2))</x:f>
      </x:c>
      <x:c r="J178" s="58"/>
      <x:c r="K178" s="58"/>
    </x:row>
    <x:row r="179">
      <x:c r="A179" s="58" t="str">
        <x:f>IF(B179="","",ROW()-1)</x:f>
      </x:c>
      <x:c r="B179" s="89"/>
      <x:c r="C179" s="58"/>
      <x:c r="D179" s="58"/>
      <x:c r="E179" s="58"/>
      <x:c r="F179" s="91"/>
      <x:c r="G179" s="91"/>
      <x:c r="H179" s="91" t="str">
        <x:f>IF($F179="","",IFERROR(VALUE(LEFT($G179,FIND("/",$G179)-1))/100*$F179,$F179/2))</x:f>
      </x:c>
      <x:c r="I179" s="91" t="str">
        <x:f>IF($F179="","",IFERROR(VALUE(MID($G179,FIND("/",$G179)+1,99))/100*$F179,$F179/2))</x:f>
      </x:c>
      <x:c r="J179" s="58"/>
      <x:c r="K179" s="58"/>
    </x:row>
    <x:row r="180">
      <x:c r="A180" s="58" t="str">
        <x:f>IF(B180="","",ROW()-1)</x:f>
      </x:c>
      <x:c r="B180" s="89"/>
      <x:c r="C180" s="58"/>
      <x:c r="D180" s="58"/>
      <x:c r="E180" s="58"/>
      <x:c r="F180" s="91"/>
      <x:c r="G180" s="91"/>
      <x:c r="H180" s="91" t="str">
        <x:f>IF($F180="","",IFERROR(VALUE(LEFT($G180,FIND("/",$G180)-1))/100*$F180,$F180/2))</x:f>
      </x:c>
      <x:c r="I180" s="91" t="str">
        <x:f>IF($F180="","",IFERROR(VALUE(MID($G180,FIND("/",$G180)+1,99))/100*$F180,$F180/2))</x:f>
      </x:c>
      <x:c r="J180" s="58"/>
      <x:c r="K180" s="58"/>
    </x:row>
    <x:row r="181">
      <x:c r="A181" s="58" t="str">
        <x:f>IF(B181="","",ROW()-1)</x:f>
      </x:c>
      <x:c r="B181" s="89"/>
      <x:c r="C181" s="58"/>
      <x:c r="D181" s="58"/>
      <x:c r="E181" s="58"/>
      <x:c r="F181" s="91"/>
      <x:c r="G181" s="91"/>
      <x:c r="H181" s="91" t="str">
        <x:f>IF($F181="","",IFERROR(VALUE(LEFT($G181,FIND("/",$G181)-1))/100*$F181,$F181/2))</x:f>
      </x:c>
      <x:c r="I181" s="91" t="str">
        <x:f>IF($F181="","",IFERROR(VALUE(MID($G181,FIND("/",$G181)+1,99))/100*$F181,$F181/2))</x:f>
      </x:c>
      <x:c r="J181" s="58"/>
      <x:c r="K181" s="58"/>
    </x:row>
    <x:row r="182">
      <x:c r="A182" s="58" t="str">
        <x:f>IF(B182="","",ROW()-1)</x:f>
      </x:c>
      <x:c r="B182" s="89"/>
      <x:c r="C182" s="58"/>
      <x:c r="D182" s="58"/>
      <x:c r="E182" s="58"/>
      <x:c r="F182" s="91"/>
      <x:c r="G182" s="91"/>
      <x:c r="H182" s="91" t="str">
        <x:f>IF($F182="","",IFERROR(VALUE(LEFT($G182,FIND("/",$G182)-1))/100*$F182,$F182/2))</x:f>
      </x:c>
      <x:c r="I182" s="91" t="str">
        <x:f>IF($F182="","",IFERROR(VALUE(MID($G182,FIND("/",$G182)+1,99))/100*$F182,$F182/2))</x:f>
      </x:c>
      <x:c r="J182" s="58"/>
      <x:c r="K182" s="58"/>
    </x:row>
    <x:row r="183">
      <x:c r="A183" s="58" t="str">
        <x:f>IF(B183="","",ROW()-1)</x:f>
      </x:c>
      <x:c r="B183" s="89"/>
      <x:c r="C183" s="58"/>
      <x:c r="D183" s="58"/>
      <x:c r="E183" s="58"/>
      <x:c r="F183" s="91"/>
      <x:c r="G183" s="91"/>
      <x:c r="H183" s="91" t="str">
        <x:f>IF($F183="","",IFERROR(VALUE(LEFT($G183,FIND("/",$G183)-1))/100*$F183,$F183/2))</x:f>
      </x:c>
      <x:c r="I183" s="91" t="str">
        <x:f>IF($F183="","",IFERROR(VALUE(MID($G183,FIND("/",$G183)+1,99))/100*$F183,$F183/2))</x:f>
      </x:c>
      <x:c r="J183" s="58"/>
      <x:c r="K183" s="58"/>
    </x:row>
    <x:row r="184">
      <x:c r="A184" s="58" t="str">
        <x:f>IF(B184="","",ROW()-1)</x:f>
      </x:c>
      <x:c r="B184" s="89"/>
      <x:c r="C184" s="58"/>
      <x:c r="D184" s="58"/>
      <x:c r="E184" s="58"/>
      <x:c r="F184" s="91"/>
      <x:c r="G184" s="91"/>
      <x:c r="H184" s="91" t="str">
        <x:f>IF($F184="","",IFERROR(VALUE(LEFT($G184,FIND("/",$G184)-1))/100*$F184,$F184/2))</x:f>
      </x:c>
      <x:c r="I184" s="91" t="str">
        <x:f>IF($F184="","",IFERROR(VALUE(MID($G184,FIND("/",$G184)+1,99))/100*$F184,$F184/2))</x:f>
      </x:c>
      <x:c r="J184" s="58"/>
      <x:c r="K184" s="58"/>
    </x:row>
    <x:row r="185">
      <x:c r="A185" s="58" t="str">
        <x:f>IF(B185="","",ROW()-1)</x:f>
      </x:c>
      <x:c r="B185" s="89"/>
      <x:c r="C185" s="58"/>
      <x:c r="D185" s="58"/>
      <x:c r="E185" s="58"/>
      <x:c r="F185" s="91"/>
      <x:c r="G185" s="91"/>
      <x:c r="H185" s="91" t="str">
        <x:f>IF($F185="","",IFERROR(VALUE(LEFT($G185,FIND("/",$G185)-1))/100*$F185,$F185/2))</x:f>
      </x:c>
      <x:c r="I185" s="91" t="str">
        <x:f>IF($F185="","",IFERROR(VALUE(MID($G185,FIND("/",$G185)+1,99))/100*$F185,$F185/2))</x:f>
      </x:c>
      <x:c r="J185" s="58"/>
      <x:c r="K185" s="58"/>
    </x:row>
    <x:row r="186">
      <x:c r="A186" s="58" t="str">
        <x:f>IF(B186="","",ROW()-1)</x:f>
      </x:c>
      <x:c r="B186" s="89"/>
      <x:c r="C186" s="58"/>
      <x:c r="D186" s="58"/>
      <x:c r="E186" s="58"/>
      <x:c r="F186" s="91"/>
      <x:c r="G186" s="91"/>
      <x:c r="H186" s="91" t="str">
        <x:f>IF($F186="","",IFERROR(VALUE(LEFT($G186,FIND("/",$G186)-1))/100*$F186,$F186/2))</x:f>
      </x:c>
      <x:c r="I186" s="91" t="str">
        <x:f>IF($F186="","",IFERROR(VALUE(MID($G186,FIND("/",$G186)+1,99))/100*$F186,$F186/2))</x:f>
      </x:c>
      <x:c r="J186" s="58"/>
      <x:c r="K186" s="58"/>
    </x:row>
    <x:row r="187">
      <x:c r="A187" s="58" t="str">
        <x:f>IF(B187="","",ROW()-1)</x:f>
      </x:c>
      <x:c r="B187" s="89"/>
      <x:c r="C187" s="58"/>
      <x:c r="D187" s="58"/>
      <x:c r="E187" s="58"/>
      <x:c r="F187" s="91"/>
      <x:c r="G187" s="91"/>
      <x:c r="H187" s="91" t="str">
        <x:f>IF($F187="","",IFERROR(VALUE(LEFT($G187,FIND("/",$G187)-1))/100*$F187,$F187/2))</x:f>
      </x:c>
      <x:c r="I187" s="91" t="str">
        <x:f>IF($F187="","",IFERROR(VALUE(MID($G187,FIND("/",$G187)+1,99))/100*$F187,$F187/2))</x:f>
      </x:c>
      <x:c r="J187" s="58"/>
      <x:c r="K187" s="58"/>
    </x:row>
    <x:row r="188">
      <x:c r="A188" s="58" t="str">
        <x:f>IF(B188="","",ROW()-1)</x:f>
      </x:c>
      <x:c r="B188" s="89"/>
      <x:c r="C188" s="58"/>
      <x:c r="D188" s="58"/>
      <x:c r="E188" s="58"/>
      <x:c r="F188" s="91"/>
      <x:c r="G188" s="91"/>
      <x:c r="H188" s="91" t="str">
        <x:f>IF($F188="","",IFERROR(VALUE(LEFT($G188,FIND("/",$G188)-1))/100*$F188,$F188/2))</x:f>
      </x:c>
      <x:c r="I188" s="91" t="str">
        <x:f>IF($F188="","",IFERROR(VALUE(MID($G188,FIND("/",$G188)+1,99))/100*$F188,$F188/2))</x:f>
      </x:c>
      <x:c r="J188" s="58"/>
      <x:c r="K188" s="58"/>
    </x:row>
    <x:row r="189">
      <x:c r="A189" s="58" t="str">
        <x:f>IF(B189="","",ROW()-1)</x:f>
      </x:c>
      <x:c r="B189" s="89"/>
      <x:c r="C189" s="58"/>
      <x:c r="D189" s="58"/>
      <x:c r="E189" s="58"/>
      <x:c r="F189" s="91"/>
      <x:c r="G189" s="91"/>
      <x:c r="H189" s="91" t="str">
        <x:f>IF($F189="","",IFERROR(VALUE(LEFT($G189,FIND("/",$G189)-1))/100*$F189,$F189/2))</x:f>
      </x:c>
      <x:c r="I189" s="91" t="str">
        <x:f>IF($F189="","",IFERROR(VALUE(MID($G189,FIND("/",$G189)+1,99))/100*$F189,$F189/2))</x:f>
      </x:c>
      <x:c r="J189" s="58"/>
      <x:c r="K189" s="58"/>
    </x:row>
    <x:row r="190">
      <x:c r="A190" s="58" t="str">
        <x:f>IF(B190="","",ROW()-1)</x:f>
      </x:c>
      <x:c r="B190" s="89"/>
      <x:c r="C190" s="58"/>
      <x:c r="D190" s="58"/>
      <x:c r="E190" s="58"/>
      <x:c r="F190" s="91"/>
      <x:c r="G190" s="91"/>
      <x:c r="H190" s="91" t="str">
        <x:f>IF($F190="","",IFERROR(VALUE(LEFT($G190,FIND("/",$G190)-1))/100*$F190,$F190/2))</x:f>
      </x:c>
      <x:c r="I190" s="91" t="str">
        <x:f>IF($F190="","",IFERROR(VALUE(MID($G190,FIND("/",$G190)+1,99))/100*$F190,$F190/2))</x:f>
      </x:c>
      <x:c r="J190" s="58"/>
      <x:c r="K190" s="58"/>
    </x:row>
    <x:row r="191">
      <x:c r="A191" s="58" t="str">
        <x:f>IF(B191="","",ROW()-1)</x:f>
      </x:c>
      <x:c r="B191" s="89"/>
      <x:c r="C191" s="58"/>
      <x:c r="D191" s="58"/>
      <x:c r="E191" s="58"/>
      <x:c r="F191" s="91"/>
      <x:c r="G191" s="91"/>
      <x:c r="H191" s="91" t="str">
        <x:f>IF($F191="","",IFERROR(VALUE(LEFT($G191,FIND("/",$G191)-1))/100*$F191,$F191/2))</x:f>
      </x:c>
      <x:c r="I191" s="91" t="str">
        <x:f>IF($F191="","",IFERROR(VALUE(MID($G191,FIND("/",$G191)+1,99))/100*$F191,$F191/2))</x:f>
      </x:c>
      <x:c r="J191" s="58"/>
      <x:c r="K191" s="58"/>
    </x:row>
    <x:row r="192">
      <x:c r="A192" s="58" t="str">
        <x:f>IF(B192="","",ROW()-1)</x:f>
      </x:c>
      <x:c r="B192" s="89"/>
      <x:c r="C192" s="58"/>
      <x:c r="D192" s="58"/>
      <x:c r="E192" s="58"/>
      <x:c r="F192" s="91"/>
      <x:c r="G192" s="91"/>
      <x:c r="H192" s="91" t="str">
        <x:f>IF($F192="","",IFERROR(VALUE(LEFT($G192,FIND("/",$G192)-1))/100*$F192,$F192/2))</x:f>
      </x:c>
      <x:c r="I192" s="91" t="str">
        <x:f>IF($F192="","",IFERROR(VALUE(MID($G192,FIND("/",$G192)+1,99))/100*$F192,$F192/2))</x:f>
      </x:c>
      <x:c r="J192" s="58"/>
      <x:c r="K192" s="58"/>
    </x:row>
    <x:row r="193">
      <x:c r="A193" s="58" t="str">
        <x:f>IF(B193="","",ROW()-1)</x:f>
      </x:c>
      <x:c r="B193" s="89"/>
      <x:c r="C193" s="58"/>
      <x:c r="D193" s="58"/>
      <x:c r="E193" s="58"/>
      <x:c r="F193" s="91"/>
      <x:c r="G193" s="91"/>
      <x:c r="H193" s="91" t="str">
        <x:f>IF($F193="","",IFERROR(VALUE(LEFT($G193,FIND("/",$G193)-1))/100*$F193,$F193/2))</x:f>
      </x:c>
      <x:c r="I193" s="91" t="str">
        <x:f>IF($F193="","",IFERROR(VALUE(MID($G193,FIND("/",$G193)+1,99))/100*$F193,$F193/2))</x:f>
      </x:c>
      <x:c r="J193" s="58"/>
      <x:c r="K193" s="58"/>
    </x:row>
    <x:row r="194">
      <x:c r="A194" s="58" t="str">
        <x:f>IF(B194="","",ROW()-1)</x:f>
      </x:c>
      <x:c r="B194" s="89"/>
      <x:c r="C194" s="58"/>
      <x:c r="D194" s="58"/>
      <x:c r="E194" s="58"/>
      <x:c r="F194" s="91"/>
      <x:c r="G194" s="91"/>
      <x:c r="H194" s="91" t="str">
        <x:f>IF($F194="","",IFERROR(VALUE(LEFT($G194,FIND("/",$G194)-1))/100*$F194,$F194/2))</x:f>
      </x:c>
      <x:c r="I194" s="91" t="str">
        <x:f>IF($F194="","",IFERROR(VALUE(MID($G194,FIND("/",$G194)+1,99))/100*$F194,$F194/2))</x:f>
      </x:c>
      <x:c r="J194" s="58"/>
      <x:c r="K194" s="58"/>
    </x:row>
    <x:row r="195">
      <x:c r="A195" s="58" t="str">
        <x:f>IF(B195="","",ROW()-1)</x:f>
      </x:c>
      <x:c r="B195" s="89"/>
      <x:c r="C195" s="58"/>
      <x:c r="D195" s="58"/>
      <x:c r="E195" s="58"/>
      <x:c r="F195" s="91"/>
      <x:c r="G195" s="91"/>
      <x:c r="H195" s="91" t="str">
        <x:f>IF($F195="","",IFERROR(VALUE(LEFT($G195,FIND("/",$G195)-1))/100*$F195,$F195/2))</x:f>
      </x:c>
      <x:c r="I195" s="91" t="str">
        <x:f>IF($F195="","",IFERROR(VALUE(MID($G195,FIND("/",$G195)+1,99))/100*$F195,$F195/2))</x:f>
      </x:c>
      <x:c r="J195" s="58"/>
      <x:c r="K195" s="58"/>
    </x:row>
    <x:row r="196">
      <x:c r="A196" s="58" t="str">
        <x:f>IF(B196="","",ROW()-1)</x:f>
      </x:c>
      <x:c r="B196" s="89"/>
      <x:c r="C196" s="58"/>
      <x:c r="D196" s="58"/>
      <x:c r="E196" s="58"/>
      <x:c r="F196" s="91"/>
      <x:c r="G196" s="91"/>
      <x:c r="H196" s="91" t="str">
        <x:f>IF($F196="","",IFERROR(VALUE(LEFT($G196,FIND("/",$G196)-1))/100*$F196,$F196/2))</x:f>
      </x:c>
      <x:c r="I196" s="91" t="str">
        <x:f>IF($F196="","",IFERROR(VALUE(MID($G196,FIND("/",$G196)+1,99))/100*$F196,$F196/2))</x:f>
      </x:c>
      <x:c r="J196" s="58"/>
      <x:c r="K196" s="58"/>
    </x:row>
    <x:row r="197">
      <x:c r="A197" s="58" t="str">
        <x:f>IF(B197="","",ROW()-1)</x:f>
      </x:c>
      <x:c r="B197" s="89"/>
      <x:c r="C197" s="58"/>
      <x:c r="D197" s="58"/>
      <x:c r="E197" s="58"/>
      <x:c r="F197" s="91"/>
      <x:c r="G197" s="91"/>
      <x:c r="H197" s="91" t="str">
        <x:f>IF($F197="","",IFERROR(VALUE(LEFT($G197,FIND("/",$G197)-1))/100*$F197,$F197/2))</x:f>
      </x:c>
      <x:c r="I197" s="91" t="str">
        <x:f>IF($F197="","",IFERROR(VALUE(MID($G197,FIND("/",$G197)+1,99))/100*$F197,$F197/2))</x:f>
      </x:c>
      <x:c r="J197" s="58"/>
      <x:c r="K197" s="58"/>
    </x:row>
    <x:row r="198">
      <x:c r="A198" s="58" t="str">
        <x:f>IF(B198="","",ROW()-1)</x:f>
      </x:c>
      <x:c r="B198" s="89"/>
      <x:c r="C198" s="58"/>
      <x:c r="D198" s="58"/>
      <x:c r="E198" s="58"/>
      <x:c r="F198" s="91"/>
      <x:c r="G198" s="91"/>
      <x:c r="H198" s="91" t="str">
        <x:f>IF($F198="","",IFERROR(VALUE(LEFT($G198,FIND("/",$G198)-1))/100*$F198,$F198/2))</x:f>
      </x:c>
      <x:c r="I198" s="91" t="str">
        <x:f>IF($F198="","",IFERROR(VALUE(MID($G198,FIND("/",$G198)+1,99))/100*$F198,$F198/2))</x:f>
      </x:c>
      <x:c r="J198" s="58"/>
      <x:c r="K198" s="58"/>
    </x:row>
    <x:row r="199">
      <x:c r="A199" s="58" t="str">
        <x:f>IF(B199="","",ROW()-1)</x:f>
      </x:c>
      <x:c r="B199" s="89"/>
      <x:c r="C199" s="58"/>
      <x:c r="D199" s="58"/>
      <x:c r="E199" s="58"/>
      <x:c r="F199" s="91"/>
      <x:c r="G199" s="91"/>
      <x:c r="H199" s="91" t="str">
        <x:f>IF($F199="","",IFERROR(VALUE(LEFT($G199,FIND("/",$G199)-1))/100*$F199,$F199/2))</x:f>
      </x:c>
      <x:c r="I199" s="91" t="str">
        <x:f>IF($F199="","",IFERROR(VALUE(MID($G199,FIND("/",$G199)+1,99))/100*$F199,$F199/2))</x:f>
      </x:c>
      <x:c r="J199" s="58"/>
      <x:c r="K199" s="58"/>
    </x:row>
    <x:row r="200">
      <x:c r="A200" s="58" t="str">
        <x:f>IF(B200="","",ROW()-1)</x:f>
      </x:c>
      <x:c r="B200" s="89"/>
      <x:c r="C200" s="58"/>
      <x:c r="D200" s="58"/>
      <x:c r="E200" s="58"/>
      <x:c r="F200" s="91"/>
      <x:c r="G200" s="91"/>
      <x:c r="H200" s="91" t="str">
        <x:f>IF($F200="","",IFERROR(VALUE(LEFT($G200,FIND("/",$G200)-1))/100*$F200,$F200/2))</x:f>
      </x:c>
      <x:c r="I200" s="91" t="str">
        <x:f>IF($F200="","",IFERROR(VALUE(MID($G200,FIND("/",$G200)+1,99))/100*$F200,$F200/2))</x:f>
      </x:c>
      <x:c r="J200" s="58"/>
      <x:c r="K200" s="58"/>
    </x:row>
    <x:row r="201">
      <x:c r="A201" s="58" t="str">
        <x:f>IF(B201="","",ROW()-1)</x:f>
      </x:c>
      <x:c r="B201" s="89"/>
      <x:c r="C201" s="58"/>
      <x:c r="D201" s="58"/>
      <x:c r="E201" s="58"/>
      <x:c r="F201" s="91"/>
      <x:c r="G201" s="91"/>
      <x:c r="H201" s="91" t="str">
        <x:f>IF($F201="","",IFERROR(VALUE(LEFT($G201,FIND("/",$G201)-1))/100*$F201,$F201/2))</x:f>
      </x:c>
      <x:c r="I201" s="91" t="str">
        <x:f>IF($F201="","",IFERROR(VALUE(MID($G201,FIND("/",$G201)+1,99))/100*$F201,$F201/2))</x:f>
      </x:c>
      <x:c r="J201" s="58"/>
      <x:c r="K201" s="58"/>
    </x:row>
    <x:row r="202">
      <x:c r="A202" s="58" t="str">
        <x:f>IF(B202="","",ROW()-1)</x:f>
      </x:c>
      <x:c r="B202" s="89"/>
      <x:c r="C202" s="58"/>
      <x:c r="D202" s="58"/>
      <x:c r="E202" s="58"/>
      <x:c r="F202" s="91"/>
      <x:c r="G202" s="91"/>
      <x:c r="H202" s="91" t="str">
        <x:f>IF($F202="","",IFERROR(VALUE(LEFT($G202,FIND("/",$G202)-1))/100*$F202,$F202/2))</x:f>
      </x:c>
      <x:c r="I202" s="91" t="str">
        <x:f>IF($F202="","",IFERROR(VALUE(MID($G202,FIND("/",$G202)+1,99))/100*$F202,$F202/2))</x:f>
      </x:c>
      <x:c r="J202" s="58"/>
      <x:c r="K202" s="58"/>
    </x:row>
    <x:row r="203">
      <x:c r="A203" s="58" t="str">
        <x:f>IF(B203="","",ROW()-1)</x:f>
      </x:c>
      <x:c r="B203" s="89"/>
      <x:c r="C203" s="58"/>
      <x:c r="D203" s="58"/>
      <x:c r="E203" s="58"/>
      <x:c r="F203" s="91"/>
      <x:c r="G203" s="91"/>
      <x:c r="H203" s="91" t="str">
        <x:f>IF($F203="","",IFERROR(VALUE(LEFT($G203,FIND("/",$G203)-1))/100*$F203,$F203/2))</x:f>
      </x:c>
      <x:c r="I203" s="91" t="str">
        <x:f>IF($F203="","",IFERROR(VALUE(MID($G203,FIND("/",$G203)+1,99))/100*$F203,$F203/2))</x:f>
      </x:c>
      <x:c r="J203" s="58"/>
      <x:c r="K203" s="58"/>
    </x:row>
    <x:row r="204">
      <x:c r="A204" s="58" t="str">
        <x:f>IF(B204="","",ROW()-1)</x:f>
      </x:c>
      <x:c r="B204" s="89"/>
      <x:c r="C204" s="58"/>
      <x:c r="D204" s="58"/>
      <x:c r="E204" s="58"/>
      <x:c r="F204" s="91"/>
      <x:c r="G204" s="91"/>
      <x:c r="H204" s="91" t="str">
        <x:f>IF($F204="","",IFERROR(VALUE(LEFT($G204,FIND("/",$G204)-1))/100*$F204,$F204/2))</x:f>
      </x:c>
      <x:c r="I204" s="91" t="str">
        <x:f>IF($F204="","",IFERROR(VALUE(MID($G204,FIND("/",$G204)+1,99))/100*$F204,$F204/2))</x:f>
      </x:c>
      <x:c r="J204" s="58"/>
      <x:c r="K204" s="58"/>
    </x:row>
    <x:row r="205">
      <x:c r="A205" s="58" t="str">
        <x:f>IF(B205="","",ROW()-1)</x:f>
      </x:c>
      <x:c r="B205" s="89"/>
      <x:c r="C205" s="58"/>
      <x:c r="D205" s="58"/>
      <x:c r="E205" s="58"/>
      <x:c r="F205" s="91"/>
      <x:c r="G205" s="91"/>
      <x:c r="H205" s="91" t="str">
        <x:f>IF($F205="","",IFERROR(VALUE(LEFT($G205,FIND("/",$G205)-1))/100*$F205,$F205/2))</x:f>
      </x:c>
      <x:c r="I205" s="91" t="str">
        <x:f>IF($F205="","",IFERROR(VALUE(MID($G205,FIND("/",$G205)+1,99))/100*$F205,$F205/2))</x:f>
      </x:c>
      <x:c r="J205" s="58"/>
      <x:c r="K205" s="58"/>
    </x:row>
    <x:row r="206">
      <x:c r="A206" s="58" t="str">
        <x:f>IF(B206="","",ROW()-1)</x:f>
      </x:c>
      <x:c r="B206" s="89"/>
      <x:c r="C206" s="58"/>
      <x:c r="D206" s="58"/>
      <x:c r="E206" s="58"/>
      <x:c r="F206" s="91"/>
      <x:c r="G206" s="91"/>
      <x:c r="H206" s="91" t="str">
        <x:f>IF($F206="","",IFERROR(VALUE(LEFT($G206,FIND("/",$G206)-1))/100*$F206,$F206/2))</x:f>
      </x:c>
      <x:c r="I206" s="91" t="str">
        <x:f>IF($F206="","",IFERROR(VALUE(MID($G206,FIND("/",$G206)+1,99))/100*$F206,$F206/2))</x:f>
      </x:c>
      <x:c r="J206" s="58"/>
      <x:c r="K206" s="58"/>
    </x:row>
    <x:row r="207">
      <x:c r="A207" s="58" t="str">
        <x:f>IF(B207="","",ROW()-1)</x:f>
      </x:c>
      <x:c r="B207" s="89"/>
      <x:c r="C207" s="58"/>
      <x:c r="D207" s="58"/>
      <x:c r="E207" s="58"/>
      <x:c r="F207" s="91"/>
      <x:c r="G207" s="91"/>
      <x:c r="H207" s="91" t="str">
        <x:f>IF($F207="","",IFERROR(VALUE(LEFT($G207,FIND("/",$G207)-1))/100*$F207,$F207/2))</x:f>
      </x:c>
      <x:c r="I207" s="91" t="str">
        <x:f>IF($F207="","",IFERROR(VALUE(MID($G207,FIND("/",$G207)+1,99))/100*$F207,$F207/2))</x:f>
      </x:c>
      <x:c r="J207" s="58"/>
      <x:c r="K207" s="58"/>
    </x:row>
    <x:row r="208">
      <x:c r="A208" s="58" t="str">
        <x:f>IF(B208="","",ROW()-1)</x:f>
      </x:c>
      <x:c r="B208" s="89"/>
      <x:c r="C208" s="58"/>
      <x:c r="D208" s="58"/>
      <x:c r="E208" s="58"/>
      <x:c r="F208" s="91"/>
      <x:c r="G208" s="91"/>
      <x:c r="H208" s="91" t="str">
        <x:f>IF($F208="","",IFERROR(VALUE(LEFT($G208,FIND("/",$G208)-1))/100*$F208,$F208/2))</x:f>
      </x:c>
      <x:c r="I208" s="91" t="str">
        <x:f>IF($F208="","",IFERROR(VALUE(MID($G208,FIND("/",$G208)+1,99))/100*$F208,$F208/2))</x:f>
      </x:c>
      <x:c r="J208" s="58"/>
      <x:c r="K208" s="58"/>
    </x:row>
    <x:row r="209">
      <x:c r="A209" s="58" t="str">
        <x:f>IF(B209="","",ROW()-1)</x:f>
      </x:c>
      <x:c r="B209" s="89"/>
      <x:c r="C209" s="58"/>
      <x:c r="D209" s="58"/>
      <x:c r="E209" s="58"/>
      <x:c r="F209" s="91"/>
      <x:c r="G209" s="91"/>
      <x:c r="H209" s="91" t="str">
        <x:f>IF($F209="","",IFERROR(VALUE(LEFT($G209,FIND("/",$G209)-1))/100*$F209,$F209/2))</x:f>
      </x:c>
      <x:c r="I209" s="91" t="str">
        <x:f>IF($F209="","",IFERROR(VALUE(MID($G209,FIND("/",$G209)+1,99))/100*$F209,$F209/2))</x:f>
      </x:c>
      <x:c r="J209" s="58"/>
      <x:c r="K209" s="58"/>
    </x:row>
    <x:row r="210">
      <x:c r="A210" s="58" t="str">
        <x:f>IF(B210="","",ROW()-1)</x:f>
      </x:c>
      <x:c r="B210" s="89"/>
      <x:c r="C210" s="58"/>
      <x:c r="D210" s="58"/>
      <x:c r="E210" s="58"/>
      <x:c r="F210" s="91"/>
      <x:c r="G210" s="91"/>
      <x:c r="H210" s="91" t="str">
        <x:f>IF($F210="","",IFERROR(VALUE(LEFT($G210,FIND("/",$G210)-1))/100*$F210,$F210/2))</x:f>
      </x:c>
      <x:c r="I210" s="91" t="str">
        <x:f>IF($F210="","",IFERROR(VALUE(MID($G210,FIND("/",$G210)+1,99))/100*$F210,$F210/2))</x:f>
      </x:c>
      <x:c r="J210" s="58"/>
      <x:c r="K210" s="58"/>
    </x:row>
    <x:row r="211">
      <x:c r="A211" s="58" t="str">
        <x:f>IF(B211="","",ROW()-1)</x:f>
      </x:c>
      <x:c r="B211" s="89"/>
      <x:c r="C211" s="58"/>
      <x:c r="D211" s="58"/>
      <x:c r="E211" s="58"/>
      <x:c r="F211" s="91"/>
      <x:c r="G211" s="91"/>
      <x:c r="H211" s="91" t="str">
        <x:f>IF($F211="","",IFERROR(VALUE(LEFT($G211,FIND("/",$G211)-1))/100*$F211,$F211/2))</x:f>
      </x:c>
      <x:c r="I211" s="91" t="str">
        <x:f>IF($F211="","",IFERROR(VALUE(MID($G211,FIND("/",$G211)+1,99))/100*$F211,$F211/2))</x:f>
      </x:c>
      <x:c r="J211" s="58"/>
      <x:c r="K211" s="58"/>
    </x:row>
    <x:row r="212">
      <x:c r="A212" s="58" t="str">
        <x:f>IF(B212="","",ROW()-1)</x:f>
      </x:c>
      <x:c r="B212" s="89"/>
      <x:c r="C212" s="58"/>
      <x:c r="D212" s="58"/>
      <x:c r="E212" s="58"/>
      <x:c r="F212" s="91"/>
      <x:c r="G212" s="91"/>
      <x:c r="H212" s="91" t="str">
        <x:f>IF($F212="","",IFERROR(VALUE(LEFT($G212,FIND("/",$G212)-1))/100*$F212,$F212/2))</x:f>
      </x:c>
      <x:c r="I212" s="91" t="str">
        <x:f>IF($F212="","",IFERROR(VALUE(MID($G212,FIND("/",$G212)+1,99))/100*$F212,$F212/2))</x:f>
      </x:c>
      <x:c r="J212" s="58"/>
      <x:c r="K212" s="58"/>
    </x:row>
    <x:row r="213">
      <x:c r="A213" s="58" t="str">
        <x:f>IF(B213="","",ROW()-1)</x:f>
      </x:c>
      <x:c r="B213" s="89"/>
      <x:c r="C213" s="58"/>
      <x:c r="D213" s="58"/>
      <x:c r="E213" s="58"/>
      <x:c r="F213" s="91"/>
      <x:c r="G213" s="91"/>
      <x:c r="H213" s="91" t="str">
        <x:f>IF($F213="","",IFERROR(VALUE(LEFT($G213,FIND("/",$G213)-1))/100*$F213,$F213/2))</x:f>
      </x:c>
      <x:c r="I213" s="91" t="str">
        <x:f>IF($F213="","",IFERROR(VALUE(MID($G213,FIND("/",$G213)+1,99))/100*$F213,$F213/2))</x:f>
      </x:c>
      <x:c r="J213" s="58"/>
      <x:c r="K213" s="58"/>
    </x:row>
    <x:row r="214">
      <x:c r="A214" s="58" t="str">
        <x:f>IF(B214="","",ROW()-1)</x:f>
      </x:c>
      <x:c r="B214" s="89"/>
      <x:c r="C214" s="58"/>
      <x:c r="D214" s="58"/>
      <x:c r="E214" s="58"/>
      <x:c r="F214" s="91"/>
      <x:c r="G214" s="91"/>
      <x:c r="H214" s="91" t="str">
        <x:f>IF($F214="","",IFERROR(VALUE(LEFT($G214,FIND("/",$G214)-1))/100*$F214,$F214/2))</x:f>
      </x:c>
      <x:c r="I214" s="91" t="str">
        <x:f>IF($F214="","",IFERROR(VALUE(MID($G214,FIND("/",$G214)+1,99))/100*$F214,$F214/2))</x:f>
      </x:c>
      <x:c r="J214" s="58"/>
      <x:c r="K214" s="58"/>
    </x:row>
    <x:row r="215">
      <x:c r="A215" s="58" t="str">
        <x:f>IF(B215="","",ROW()-1)</x:f>
      </x:c>
      <x:c r="B215" s="89"/>
      <x:c r="C215" s="58"/>
      <x:c r="D215" s="58"/>
      <x:c r="E215" s="58"/>
      <x:c r="F215" s="91"/>
      <x:c r="G215" s="91"/>
      <x:c r="H215" s="91" t="str">
        <x:f>IF($F215="","",IFERROR(VALUE(LEFT($G215,FIND("/",$G215)-1))/100*$F215,$F215/2))</x:f>
      </x:c>
      <x:c r="I215" s="91" t="str">
        <x:f>IF($F215="","",IFERROR(VALUE(MID($G215,FIND("/",$G215)+1,99))/100*$F215,$F215/2))</x:f>
      </x:c>
      <x:c r="J215" s="58"/>
      <x:c r="K215" s="58"/>
    </x:row>
    <x:row r="216">
      <x:c r="A216" s="58" t="str">
        <x:f>IF(B216="","",ROW()-1)</x:f>
      </x:c>
      <x:c r="B216" s="89"/>
      <x:c r="C216" s="58"/>
      <x:c r="D216" s="58"/>
      <x:c r="E216" s="58"/>
      <x:c r="F216" s="91"/>
      <x:c r="G216" s="91"/>
      <x:c r="H216" s="91" t="str">
        <x:f>IF($F216="","",IFERROR(VALUE(LEFT($G216,FIND("/",$G216)-1))/100*$F216,$F216/2))</x:f>
      </x:c>
      <x:c r="I216" s="91" t="str">
        <x:f>IF($F216="","",IFERROR(VALUE(MID($G216,FIND("/",$G216)+1,99))/100*$F216,$F216/2))</x:f>
      </x:c>
      <x:c r="J216" s="58"/>
      <x:c r="K216" s="58"/>
    </x:row>
    <x:row r="217">
      <x:c r="A217" s="58" t="str">
        <x:f>IF(B217="","",ROW()-1)</x:f>
      </x:c>
      <x:c r="B217" s="89"/>
      <x:c r="C217" s="58"/>
      <x:c r="D217" s="58"/>
      <x:c r="E217" s="58"/>
      <x:c r="F217" s="91"/>
      <x:c r="G217" s="91"/>
      <x:c r="H217" s="91" t="str">
        <x:f>IF($F217="","",IFERROR(VALUE(LEFT($G217,FIND("/",$G217)-1))/100*$F217,$F217/2))</x:f>
      </x:c>
      <x:c r="I217" s="91" t="str">
        <x:f>IF($F217="","",IFERROR(VALUE(MID($G217,FIND("/",$G217)+1,99))/100*$F217,$F217/2))</x:f>
      </x:c>
      <x:c r="J217" s="58"/>
      <x:c r="K217" s="58"/>
    </x:row>
    <x:row r="218">
      <x:c r="A218" s="58" t="str">
        <x:f>IF(B218="","",ROW()-1)</x:f>
      </x:c>
      <x:c r="B218" s="89"/>
      <x:c r="C218" s="58"/>
      <x:c r="D218" s="58"/>
      <x:c r="E218" s="58"/>
      <x:c r="F218" s="91"/>
      <x:c r="G218" s="91"/>
      <x:c r="H218" s="91" t="str">
        <x:f>IF($F218="","",IFERROR(VALUE(LEFT($G218,FIND("/",$G218)-1))/100*$F218,$F218/2))</x:f>
      </x:c>
      <x:c r="I218" s="91" t="str">
        <x:f>IF($F218="","",IFERROR(VALUE(MID($G218,FIND("/",$G218)+1,99))/100*$F218,$F218/2))</x:f>
      </x:c>
      <x:c r="J218" s="58"/>
      <x:c r="K218" s="58"/>
    </x:row>
    <x:row r="219">
      <x:c r="A219" s="58" t="str">
        <x:f>IF(B219="","",ROW()-1)</x:f>
      </x:c>
      <x:c r="B219" s="89"/>
      <x:c r="C219" s="58"/>
      <x:c r="D219" s="58"/>
      <x:c r="E219" s="58"/>
      <x:c r="F219" s="91"/>
      <x:c r="G219" s="91"/>
      <x:c r="H219" s="91" t="str">
        <x:f>IF($F219="","",IFERROR(VALUE(LEFT($G219,FIND("/",$G219)-1))/100*$F219,$F219/2))</x:f>
      </x:c>
      <x:c r="I219" s="91" t="str">
        <x:f>IF($F219="","",IFERROR(VALUE(MID($G219,FIND("/",$G219)+1,99))/100*$F219,$F219/2))</x:f>
      </x:c>
      <x:c r="J219" s="58"/>
      <x:c r="K219" s="58"/>
    </x:row>
    <x:row r="220">
      <x:c r="A220" s="58" t="str">
        <x:f>IF(B220="","",ROW()-1)</x:f>
      </x:c>
      <x:c r="B220" s="89"/>
      <x:c r="C220" s="58"/>
      <x:c r="D220" s="58"/>
      <x:c r="E220" s="58"/>
      <x:c r="F220" s="91"/>
      <x:c r="G220" s="91"/>
      <x:c r="H220" s="91" t="str">
        <x:f>IF($F220="","",IFERROR(VALUE(LEFT($G220,FIND("/",$G220)-1))/100*$F220,$F220/2))</x:f>
      </x:c>
      <x:c r="I220" s="91" t="str">
        <x:f>IF($F220="","",IFERROR(VALUE(MID($G220,FIND("/",$G220)+1,99))/100*$F220,$F220/2))</x:f>
      </x:c>
      <x:c r="J220" s="58"/>
      <x:c r="K220" s="58"/>
    </x:row>
    <x:row r="221">
      <x:c r="A221" s="58" t="str">
        <x:f>IF(B221="","",ROW()-1)</x:f>
      </x:c>
      <x:c r="B221" s="89"/>
      <x:c r="C221" s="58"/>
      <x:c r="D221" s="58"/>
      <x:c r="E221" s="58"/>
      <x:c r="F221" s="91"/>
      <x:c r="G221" s="91"/>
      <x:c r="H221" s="91" t="str">
        <x:f>IF($F221="","",IFERROR(VALUE(LEFT($G221,FIND("/",$G221)-1))/100*$F221,$F221/2))</x:f>
      </x:c>
      <x:c r="I221" s="91" t="str">
        <x:f>IF($F221="","",IFERROR(VALUE(MID($G221,FIND("/",$G221)+1,99))/100*$F221,$F221/2))</x:f>
      </x:c>
      <x:c r="J221" s="58"/>
      <x:c r="K221" s="58"/>
    </x:row>
    <x:row r="222">
      <x:c r="A222" s="58" t="str">
        <x:f>IF(B222="","",ROW()-1)</x:f>
      </x:c>
      <x:c r="B222" s="89"/>
      <x:c r="C222" s="58"/>
      <x:c r="D222" s="58"/>
      <x:c r="E222" s="58"/>
      <x:c r="F222" s="91"/>
      <x:c r="G222" s="91"/>
      <x:c r="H222" s="91" t="str">
        <x:f>IF($F222="","",IFERROR(VALUE(LEFT($G222,FIND("/",$G222)-1))/100*$F222,$F222/2))</x:f>
      </x:c>
      <x:c r="I222" s="91" t="str">
        <x:f>IF($F222="","",IFERROR(VALUE(MID($G222,FIND("/",$G222)+1,99))/100*$F222,$F222/2))</x:f>
      </x:c>
      <x:c r="J222" s="58"/>
      <x:c r="K222" s="58"/>
    </x:row>
    <x:row r="223">
      <x:c r="A223" s="58" t="str">
        <x:f>IF(B223="","",ROW()-1)</x:f>
      </x:c>
      <x:c r="B223" s="89"/>
      <x:c r="C223" s="58"/>
      <x:c r="D223" s="58"/>
      <x:c r="E223" s="58"/>
      <x:c r="F223" s="91"/>
      <x:c r="G223" s="91"/>
      <x:c r="H223" s="91" t="str">
        <x:f>IF($F223="","",IFERROR(VALUE(LEFT($G223,FIND("/",$G223)-1))/100*$F223,$F223/2))</x:f>
      </x:c>
      <x:c r="I223" s="91" t="str">
        <x:f>IF($F223="","",IFERROR(VALUE(MID($G223,FIND("/",$G223)+1,99))/100*$F223,$F223/2))</x:f>
      </x:c>
      <x:c r="J223" s="58"/>
      <x:c r="K223" s="58"/>
    </x:row>
    <x:row r="224">
      <x:c r="A224" s="58" t="str">
        <x:f>IF(B224="","",ROW()-1)</x:f>
      </x:c>
      <x:c r="B224" s="89"/>
      <x:c r="C224" s="58"/>
      <x:c r="D224" s="58"/>
      <x:c r="E224" s="58"/>
      <x:c r="F224" s="91"/>
      <x:c r="G224" s="91"/>
      <x:c r="H224" s="91" t="str">
        <x:f>IF($F224="","",IFERROR(VALUE(LEFT($G224,FIND("/",$G224)-1))/100*$F224,$F224/2))</x:f>
      </x:c>
      <x:c r="I224" s="91" t="str">
        <x:f>IF($F224="","",IFERROR(VALUE(MID($G224,FIND("/",$G224)+1,99))/100*$F224,$F224/2))</x:f>
      </x:c>
      <x:c r="J224" s="58"/>
      <x:c r="K224" s="58"/>
    </x:row>
    <x:row r="225">
      <x:c r="A225" s="58" t="str">
        <x:f>IF(B225="","",ROW()-1)</x:f>
      </x:c>
      <x:c r="B225" s="89"/>
      <x:c r="C225" s="58"/>
      <x:c r="D225" s="58"/>
      <x:c r="E225" s="58"/>
      <x:c r="F225" s="91"/>
      <x:c r="G225" s="91"/>
      <x:c r="H225" s="91" t="str">
        <x:f>IF($F225="","",IFERROR(VALUE(LEFT($G225,FIND("/",$G225)-1))/100*$F225,$F225/2))</x:f>
      </x:c>
      <x:c r="I225" s="91" t="str">
        <x:f>IF($F225="","",IFERROR(VALUE(MID($G225,FIND("/",$G225)+1,99))/100*$F225,$F225/2))</x:f>
      </x:c>
      <x:c r="J225" s="58"/>
      <x:c r="K225" s="58"/>
    </x:row>
    <x:row r="226">
      <x:c r="A226" s="58" t="str">
        <x:f>IF(B226="","",ROW()-1)</x:f>
      </x:c>
      <x:c r="B226" s="89"/>
      <x:c r="C226" s="58"/>
      <x:c r="D226" s="58"/>
      <x:c r="E226" s="58"/>
      <x:c r="F226" s="91"/>
      <x:c r="G226" s="91"/>
      <x:c r="H226" s="91" t="str">
        <x:f>IF($F226="","",IFERROR(VALUE(LEFT($G226,FIND("/",$G226)-1))/100*$F226,$F226/2))</x:f>
      </x:c>
      <x:c r="I226" s="91" t="str">
        <x:f>IF($F226="","",IFERROR(VALUE(MID($G226,FIND("/",$G226)+1,99))/100*$F226,$F226/2))</x:f>
      </x:c>
      <x:c r="J226" s="58"/>
      <x:c r="K226" s="58"/>
    </x:row>
    <x:row r="227">
      <x:c r="A227" s="58" t="str">
        <x:f>IF(B227="","",ROW()-1)</x:f>
      </x:c>
      <x:c r="B227" s="89"/>
      <x:c r="C227" s="58"/>
      <x:c r="D227" s="58"/>
      <x:c r="E227" s="58"/>
      <x:c r="F227" s="91"/>
      <x:c r="G227" s="91"/>
      <x:c r="H227" s="91" t="str">
        <x:f>IF($F227="","",IFERROR(VALUE(LEFT($G227,FIND("/",$G227)-1))/100*$F227,$F227/2))</x:f>
      </x:c>
      <x:c r="I227" s="91" t="str">
        <x:f>IF($F227="","",IFERROR(VALUE(MID($G227,FIND("/",$G227)+1,99))/100*$F227,$F227/2))</x:f>
      </x:c>
      <x:c r="J227" s="58"/>
      <x:c r="K227" s="58"/>
    </x:row>
    <x:row r="228">
      <x:c r="A228" s="58" t="str">
        <x:f>IF(B228="","",ROW()-1)</x:f>
      </x:c>
      <x:c r="B228" s="89"/>
      <x:c r="C228" s="58"/>
      <x:c r="D228" s="58"/>
      <x:c r="E228" s="58"/>
      <x:c r="F228" s="91"/>
      <x:c r="G228" s="91"/>
      <x:c r="H228" s="91" t="str">
        <x:f>IF($F228="","",IFERROR(VALUE(LEFT($G228,FIND("/",$G228)-1))/100*$F228,$F228/2))</x:f>
      </x:c>
      <x:c r="I228" s="91" t="str">
        <x:f>IF($F228="","",IFERROR(VALUE(MID($G228,FIND("/",$G228)+1,99))/100*$F228,$F228/2))</x:f>
      </x:c>
      <x:c r="J228" s="58"/>
      <x:c r="K228" s="58"/>
    </x:row>
    <x:row r="229">
      <x:c r="A229" s="58" t="str">
        <x:f>IF(B229="","",ROW()-1)</x:f>
      </x:c>
      <x:c r="B229" s="89"/>
      <x:c r="C229" s="58"/>
      <x:c r="D229" s="58"/>
      <x:c r="E229" s="58"/>
      <x:c r="F229" s="91"/>
      <x:c r="G229" s="91"/>
      <x:c r="H229" s="91" t="str">
        <x:f>IF($F229="","",IFERROR(VALUE(LEFT($G229,FIND("/",$G229)-1))/100*$F229,$F229/2))</x:f>
      </x:c>
      <x:c r="I229" s="91" t="str">
        <x:f>IF($F229="","",IFERROR(VALUE(MID($G229,FIND("/",$G229)+1,99))/100*$F229,$F229/2))</x:f>
      </x:c>
      <x:c r="J229" s="58"/>
      <x:c r="K229" s="58"/>
    </x:row>
    <x:row r="230">
      <x:c r="A230" s="58" t="str">
        <x:f>IF(B230="","",ROW()-1)</x:f>
      </x:c>
      <x:c r="B230" s="89"/>
      <x:c r="C230" s="58"/>
      <x:c r="D230" s="58"/>
      <x:c r="E230" s="58"/>
      <x:c r="F230" s="91"/>
      <x:c r="G230" s="91"/>
      <x:c r="H230" s="91" t="str">
        <x:f>IF($F230="","",IFERROR(VALUE(LEFT($G230,FIND("/",$G230)-1))/100*$F230,$F230/2))</x:f>
      </x:c>
      <x:c r="I230" s="91" t="str">
        <x:f>IF($F230="","",IFERROR(VALUE(MID($G230,FIND("/",$G230)+1,99))/100*$F230,$F230/2))</x:f>
      </x:c>
      <x:c r="J230" s="58"/>
      <x:c r="K230" s="58"/>
    </x:row>
    <x:row r="231">
      <x:c r="A231" s="58" t="str">
        <x:f>IF(B231="","",ROW()-1)</x:f>
      </x:c>
      <x:c r="B231" s="89"/>
      <x:c r="C231" s="58"/>
      <x:c r="D231" s="58"/>
      <x:c r="E231" s="58"/>
      <x:c r="F231" s="91"/>
      <x:c r="G231" s="91"/>
      <x:c r="H231" s="91" t="str">
        <x:f>IF($F231="","",IFERROR(VALUE(LEFT($G231,FIND("/",$G231)-1))/100*$F231,$F231/2))</x:f>
      </x:c>
      <x:c r="I231" s="91" t="str">
        <x:f>IF($F231="","",IFERROR(VALUE(MID($G231,FIND("/",$G231)+1,99))/100*$F231,$F231/2))</x:f>
      </x:c>
      <x:c r="J231" s="58"/>
      <x:c r="K231" s="58"/>
    </x:row>
    <x:row r="232">
      <x:c r="A232" s="58" t="str">
        <x:f>IF(B232="","",ROW()-1)</x:f>
      </x:c>
      <x:c r="B232" s="89"/>
      <x:c r="C232" s="58"/>
      <x:c r="D232" s="58"/>
      <x:c r="E232" s="58"/>
      <x:c r="F232" s="91"/>
      <x:c r="G232" s="91"/>
      <x:c r="H232" s="91" t="str">
        <x:f>IF($F232="","",IFERROR(VALUE(LEFT($G232,FIND("/",$G232)-1))/100*$F232,$F232/2))</x:f>
      </x:c>
      <x:c r="I232" s="91" t="str">
        <x:f>IF($F232="","",IFERROR(VALUE(MID($G232,FIND("/",$G232)+1,99))/100*$F232,$F232/2))</x:f>
      </x:c>
      <x:c r="J232" s="58"/>
      <x:c r="K232" s="58"/>
    </x:row>
    <x:row r="233">
      <x:c r="A233" s="58" t="str">
        <x:f>IF(B233="","",ROW()-1)</x:f>
      </x:c>
      <x:c r="B233" s="89"/>
      <x:c r="C233" s="58"/>
      <x:c r="D233" s="58"/>
      <x:c r="E233" s="58"/>
      <x:c r="F233" s="91"/>
      <x:c r="G233" s="91"/>
      <x:c r="H233" s="91" t="str">
        <x:f>IF($F233="","",IFERROR(VALUE(LEFT($G233,FIND("/",$G233)-1))/100*$F233,$F233/2))</x:f>
      </x:c>
      <x:c r="I233" s="91" t="str">
        <x:f>IF($F233="","",IFERROR(VALUE(MID($G233,FIND("/",$G233)+1,99))/100*$F233,$F233/2))</x:f>
      </x:c>
      <x:c r="J233" s="58"/>
      <x:c r="K233" s="58"/>
    </x:row>
    <x:row r="234">
      <x:c r="A234" s="58" t="str">
        <x:f>IF(B234="","",ROW()-1)</x:f>
      </x:c>
      <x:c r="B234" s="89"/>
      <x:c r="C234" s="58"/>
      <x:c r="D234" s="58"/>
      <x:c r="E234" s="58"/>
      <x:c r="F234" s="91"/>
      <x:c r="G234" s="91"/>
      <x:c r="H234" s="91" t="str">
        <x:f>IF($F234="","",IFERROR(VALUE(LEFT($G234,FIND("/",$G234)-1))/100*$F234,$F234/2))</x:f>
      </x:c>
      <x:c r="I234" s="91" t="str">
        <x:f>IF($F234="","",IFERROR(VALUE(MID($G234,FIND("/",$G234)+1,99))/100*$F234,$F234/2))</x:f>
      </x:c>
      <x:c r="J234" s="58"/>
      <x:c r="K234" s="58"/>
    </x:row>
    <x:row r="235">
      <x:c r="A235" s="58" t="str">
        <x:f>IF(B235="","",ROW()-1)</x:f>
      </x:c>
      <x:c r="B235" s="89"/>
      <x:c r="C235" s="58"/>
      <x:c r="D235" s="58"/>
      <x:c r="E235" s="58"/>
      <x:c r="F235" s="91"/>
      <x:c r="G235" s="91"/>
      <x:c r="H235" s="91" t="str">
        <x:f>IF($F235="","",IFERROR(VALUE(LEFT($G235,FIND("/",$G235)-1))/100*$F235,$F235/2))</x:f>
      </x:c>
      <x:c r="I235" s="91" t="str">
        <x:f>IF($F235="","",IFERROR(VALUE(MID($G235,FIND("/",$G235)+1,99))/100*$F235,$F235/2))</x:f>
      </x:c>
      <x:c r="J235" s="58"/>
      <x:c r="K235" s="58"/>
    </x:row>
    <x:row r="236">
      <x:c r="A236" s="58" t="str">
        <x:f>IF(B236="","",ROW()-1)</x:f>
      </x:c>
      <x:c r="B236" s="89"/>
      <x:c r="C236" s="58"/>
      <x:c r="D236" s="58"/>
      <x:c r="E236" s="58"/>
      <x:c r="F236" s="91"/>
      <x:c r="G236" s="91"/>
      <x:c r="H236" s="91" t="str">
        <x:f>IF($F236="","",IFERROR(VALUE(LEFT($G236,FIND("/",$G236)-1))/100*$F236,$F236/2))</x:f>
      </x:c>
      <x:c r="I236" s="91" t="str">
        <x:f>IF($F236="","",IFERROR(VALUE(MID($G236,FIND("/",$G236)+1,99))/100*$F236,$F236/2))</x:f>
      </x:c>
      <x:c r="J236" s="58"/>
      <x:c r="K236" s="58"/>
    </x:row>
    <x:row r="237">
      <x:c r="A237" s="58" t="str">
        <x:f>IF(B237="","",ROW()-1)</x:f>
      </x:c>
      <x:c r="B237" s="89"/>
      <x:c r="C237" s="58"/>
      <x:c r="D237" s="58"/>
      <x:c r="E237" s="58"/>
      <x:c r="F237" s="91"/>
      <x:c r="G237" s="91"/>
      <x:c r="H237" s="91" t="str">
        <x:f>IF($F237="","",IFERROR(VALUE(LEFT($G237,FIND("/",$G237)-1))/100*$F237,$F237/2))</x:f>
      </x:c>
      <x:c r="I237" s="91" t="str">
        <x:f>IF($F237="","",IFERROR(VALUE(MID($G237,FIND("/",$G237)+1,99))/100*$F237,$F237/2))</x:f>
      </x:c>
      <x:c r="J237" s="58"/>
      <x:c r="K237" s="58"/>
    </x:row>
    <x:row r="238">
      <x:c r="A238" s="58" t="str">
        <x:f>IF(B238="","",ROW()-1)</x:f>
      </x:c>
      <x:c r="B238" s="89"/>
      <x:c r="C238" s="58"/>
      <x:c r="D238" s="58"/>
      <x:c r="E238" s="58"/>
      <x:c r="F238" s="91"/>
      <x:c r="G238" s="91"/>
      <x:c r="H238" s="91" t="str">
        <x:f>IF($F238="","",IFERROR(VALUE(LEFT($G238,FIND("/",$G238)-1))/100*$F238,$F238/2))</x:f>
      </x:c>
      <x:c r="I238" s="91" t="str">
        <x:f>IF($F238="","",IFERROR(VALUE(MID($G238,FIND("/",$G238)+1,99))/100*$F238,$F238/2))</x:f>
      </x:c>
      <x:c r="J238" s="58"/>
      <x:c r="K238" s="58"/>
    </x:row>
    <x:row r="239">
      <x:c r="A239" s="58" t="str">
        <x:f>IF(B239="","",ROW()-1)</x:f>
      </x:c>
      <x:c r="B239" s="89"/>
      <x:c r="C239" s="58"/>
      <x:c r="D239" s="58"/>
      <x:c r="E239" s="58"/>
      <x:c r="F239" s="91"/>
      <x:c r="G239" s="91"/>
      <x:c r="H239" s="91" t="str">
        <x:f>IF($F239="","",IFERROR(VALUE(LEFT($G239,FIND("/",$G239)-1))/100*$F239,$F239/2))</x:f>
      </x:c>
      <x:c r="I239" s="91" t="str">
        <x:f>IF($F239="","",IFERROR(VALUE(MID($G239,FIND("/",$G239)+1,99))/100*$F239,$F239/2))</x:f>
      </x:c>
      <x:c r="J239" s="58"/>
      <x:c r="K239" s="58"/>
    </x:row>
    <x:row r="240">
      <x:c r="A240" s="58" t="str">
        <x:f>IF(B240="","",ROW()-1)</x:f>
      </x:c>
      <x:c r="B240" s="89"/>
      <x:c r="C240" s="58"/>
      <x:c r="D240" s="58"/>
      <x:c r="E240" s="58"/>
      <x:c r="F240" s="91"/>
      <x:c r="G240" s="91"/>
      <x:c r="H240" s="91" t="str">
        <x:f>IF($F240="","",IFERROR(VALUE(LEFT($G240,FIND("/",$G240)-1))/100*$F240,$F240/2))</x:f>
      </x:c>
      <x:c r="I240" s="91" t="str">
        <x:f>IF($F240="","",IFERROR(VALUE(MID($G240,FIND("/",$G240)+1,99))/100*$F240,$F240/2))</x:f>
      </x:c>
      <x:c r="J240" s="58"/>
      <x:c r="K240" s="58"/>
    </x:row>
    <x:row r="241">
      <x:c r="A241" s="58" t="str">
        <x:f>IF(B241="","",ROW()-1)</x:f>
      </x:c>
      <x:c r="B241" s="89"/>
      <x:c r="C241" s="58"/>
      <x:c r="D241" s="58"/>
      <x:c r="E241" s="58"/>
      <x:c r="F241" s="91"/>
      <x:c r="G241" s="91"/>
      <x:c r="H241" s="91" t="str">
        <x:f>IF($F241="","",IFERROR(VALUE(LEFT($G241,FIND("/",$G241)-1))/100*$F241,$F241/2))</x:f>
      </x:c>
      <x:c r="I241" s="91" t="str">
        <x:f>IF($F241="","",IFERROR(VALUE(MID($G241,FIND("/",$G241)+1,99))/100*$F241,$F241/2))</x:f>
      </x:c>
      <x:c r="J241" s="58"/>
      <x:c r="K241" s="58"/>
    </x:row>
    <x:row r="242">
      <x:c r="A242" s="58" t="str">
        <x:f>IF(B242="","",ROW()-1)</x:f>
      </x:c>
      <x:c r="B242" s="89"/>
      <x:c r="C242" s="58"/>
      <x:c r="D242" s="58"/>
      <x:c r="E242" s="58"/>
      <x:c r="F242" s="91"/>
      <x:c r="G242" s="91"/>
      <x:c r="H242" s="91" t="str">
        <x:f>IF($F242="","",IFERROR(VALUE(LEFT($G242,FIND("/",$G242)-1))/100*$F242,$F242/2))</x:f>
      </x:c>
      <x:c r="I242" s="91" t="str">
        <x:f>IF($F242="","",IFERROR(VALUE(MID($G242,FIND("/",$G242)+1,99))/100*$F242,$F242/2))</x:f>
      </x:c>
      <x:c r="J242" s="58"/>
      <x:c r="K242" s="58"/>
    </x:row>
    <x:row r="243">
      <x:c r="A243" s="58" t="str">
        <x:f>IF(B243="","",ROW()-1)</x:f>
      </x:c>
      <x:c r="B243" s="89"/>
      <x:c r="C243" s="58"/>
      <x:c r="D243" s="58"/>
      <x:c r="E243" s="58"/>
      <x:c r="F243" s="91"/>
      <x:c r="G243" s="91"/>
      <x:c r="H243" s="91" t="str">
        <x:f>IF($F243="","",IFERROR(VALUE(LEFT($G243,FIND("/",$G243)-1))/100*$F243,$F243/2))</x:f>
      </x:c>
      <x:c r="I243" s="91" t="str">
        <x:f>IF($F243="","",IFERROR(VALUE(MID($G243,FIND("/",$G243)+1,99))/100*$F243,$F243/2))</x:f>
      </x:c>
      <x:c r="J243" s="58"/>
      <x:c r="K243" s="58"/>
    </x:row>
    <x:row r="244">
      <x:c r="A244" s="58" t="str">
        <x:f>IF(B244="","",ROW()-1)</x:f>
      </x:c>
      <x:c r="B244" s="89"/>
      <x:c r="C244" s="58"/>
      <x:c r="D244" s="58"/>
      <x:c r="E244" s="58"/>
      <x:c r="F244" s="91"/>
      <x:c r="G244" s="91"/>
      <x:c r="H244" s="91" t="str">
        <x:f>IF($F244="","",IFERROR(VALUE(LEFT($G244,FIND("/",$G244)-1))/100*$F244,$F244/2))</x:f>
      </x:c>
      <x:c r="I244" s="91" t="str">
        <x:f>IF($F244="","",IFERROR(VALUE(MID($G244,FIND("/",$G244)+1,99))/100*$F244,$F244/2))</x:f>
      </x:c>
      <x:c r="J244" s="58"/>
      <x:c r="K244" s="58"/>
    </x:row>
    <x:row r="245">
      <x:c r="A245" s="58" t="str">
        <x:f>IF(B245="","",ROW()-1)</x:f>
      </x:c>
      <x:c r="B245" s="89"/>
      <x:c r="C245" s="58"/>
      <x:c r="D245" s="58"/>
      <x:c r="E245" s="58"/>
      <x:c r="F245" s="91"/>
      <x:c r="G245" s="91"/>
      <x:c r="H245" s="91" t="str">
        <x:f>IF($F245="","",IFERROR(VALUE(LEFT($G245,FIND("/",$G245)-1))/100*$F245,$F245/2))</x:f>
      </x:c>
      <x:c r="I245" s="91" t="str">
        <x:f>IF($F245="","",IFERROR(VALUE(MID($G245,FIND("/",$G245)+1,99))/100*$F245,$F245/2))</x:f>
      </x:c>
      <x:c r="J245" s="58"/>
      <x:c r="K245" s="58"/>
    </x:row>
    <x:row r="246">
      <x:c r="A246" s="58" t="str">
        <x:f>IF(B246="","",ROW()-1)</x:f>
      </x:c>
      <x:c r="B246" s="89"/>
      <x:c r="C246" s="58"/>
      <x:c r="D246" s="58"/>
      <x:c r="E246" s="58"/>
      <x:c r="F246" s="91"/>
      <x:c r="G246" s="91"/>
      <x:c r="H246" s="91" t="str">
        <x:f>IF($F246="","",IFERROR(VALUE(LEFT($G246,FIND("/",$G246)-1))/100*$F246,$F246/2))</x:f>
      </x:c>
      <x:c r="I246" s="91" t="str">
        <x:f>IF($F246="","",IFERROR(VALUE(MID($G246,FIND("/",$G246)+1,99))/100*$F246,$F246/2))</x:f>
      </x:c>
      <x:c r="J246" s="58"/>
      <x:c r="K246" s="58"/>
    </x:row>
    <x:row r="247">
      <x:c r="A247" s="58" t="str">
        <x:f>IF(B247="","",ROW()-1)</x:f>
      </x:c>
      <x:c r="B247" s="89"/>
      <x:c r="C247" s="58"/>
      <x:c r="D247" s="58"/>
      <x:c r="E247" s="58"/>
      <x:c r="F247" s="91"/>
      <x:c r="G247" s="91"/>
      <x:c r="H247" s="91" t="str">
        <x:f>IF($F247="","",IFERROR(VALUE(LEFT($G247,FIND("/",$G247)-1))/100*$F247,$F247/2))</x:f>
      </x:c>
      <x:c r="I247" s="91" t="str">
        <x:f>IF($F247="","",IFERROR(VALUE(MID($G247,FIND("/",$G247)+1,99))/100*$F247,$F247/2))</x:f>
      </x:c>
      <x:c r="J247" s="58"/>
      <x:c r="K247" s="58"/>
    </x:row>
    <x:row r="248">
      <x:c r="A248" s="58" t="str">
        <x:f>IF(B248="","",ROW()-1)</x:f>
      </x:c>
      <x:c r="B248" s="89"/>
      <x:c r="C248" s="58"/>
      <x:c r="D248" s="58"/>
      <x:c r="E248" s="58"/>
      <x:c r="F248" s="91"/>
      <x:c r="G248" s="91"/>
      <x:c r="H248" s="91" t="str">
        <x:f>IF($F248="","",IFERROR(VALUE(LEFT($G248,FIND("/",$G248)-1))/100*$F248,$F248/2))</x:f>
      </x:c>
      <x:c r="I248" s="91" t="str">
        <x:f>IF($F248="","",IFERROR(VALUE(MID($G248,FIND("/",$G248)+1,99))/100*$F248,$F248/2))</x:f>
      </x:c>
      <x:c r="J248" s="58"/>
      <x:c r="K248" s="58"/>
    </x:row>
    <x:row r="249">
      <x:c r="A249" s="58" t="str">
        <x:f>IF(B249="","",ROW()-1)</x:f>
      </x:c>
      <x:c r="B249" s="89"/>
      <x:c r="C249" s="58"/>
      <x:c r="D249" s="58"/>
      <x:c r="E249" s="58"/>
      <x:c r="F249" s="91"/>
      <x:c r="G249" s="91"/>
      <x:c r="H249" s="91" t="str">
        <x:f>IF($F249="","",IFERROR(VALUE(LEFT($G249,FIND("/",$G249)-1))/100*$F249,$F249/2))</x:f>
      </x:c>
      <x:c r="I249" s="91" t="str">
        <x:f>IF($F249="","",IFERROR(VALUE(MID($G249,FIND("/",$G249)+1,99))/100*$F249,$F249/2))</x:f>
      </x:c>
      <x:c r="J249" s="58"/>
      <x:c r="K249" s="58"/>
    </x:row>
    <x:row r="250">
      <x:c r="A250" s="58" t="str">
        <x:f>IF(B250="","",ROW()-1)</x:f>
      </x:c>
      <x:c r="B250" s="89"/>
      <x:c r="C250" s="58"/>
      <x:c r="D250" s="58"/>
      <x:c r="E250" s="58"/>
      <x:c r="F250" s="91"/>
      <x:c r="G250" s="91"/>
      <x:c r="H250" s="91" t="str">
        <x:f>IF($F250="","",IFERROR(VALUE(LEFT($G250,FIND("/",$G250)-1))/100*$F250,$F250/2))</x:f>
      </x:c>
      <x:c r="I250" s="91" t="str">
        <x:f>IF($F250="","",IFERROR(VALUE(MID($G250,FIND("/",$G250)+1,99))/100*$F250,$F250/2))</x:f>
      </x:c>
      <x:c r="J250" s="58"/>
      <x:c r="K250" s="58"/>
    </x:row>
    <x:row r="251">
      <x:c r="A251" s="58" t="str">
        <x:f>IF(B251="","",ROW()-1)</x:f>
      </x:c>
      <x:c r="B251" s="89"/>
      <x:c r="C251" s="58"/>
      <x:c r="D251" s="58"/>
      <x:c r="E251" s="58"/>
      <x:c r="F251" s="91"/>
      <x:c r="G251" s="91"/>
      <x:c r="H251" s="91" t="str">
        <x:f>IF($F251="","",IFERROR(VALUE(LEFT($G251,FIND("/",$G251)-1))/100*$F251,$F251/2))</x:f>
      </x:c>
      <x:c r="I251" s="91" t="str">
        <x:f>IF($F251="","",IFERROR(VALUE(MID($G251,FIND("/",$G251)+1,99))/100*$F251,$F251/2))</x:f>
      </x:c>
      <x:c r="J251" s="58"/>
      <x:c r="K251" s="58"/>
    </x:row>
    <x:row r="252">
      <x:c r="A252" s="58" t="str">
        <x:f>IF(B252="","",ROW()-1)</x:f>
      </x:c>
      <x:c r="B252" s="89"/>
      <x:c r="C252" s="58"/>
      <x:c r="D252" s="58"/>
      <x:c r="E252" s="58"/>
      <x:c r="F252" s="91"/>
      <x:c r="G252" s="91"/>
      <x:c r="H252" s="91" t="str">
        <x:f>IF($F252="","",IFERROR(VALUE(LEFT($G252,FIND("/",$G252)-1))/100*$F252,$F252/2))</x:f>
      </x:c>
      <x:c r="I252" s="91" t="str">
        <x:f>IF($F252="","",IFERROR(VALUE(MID($G252,FIND("/",$G252)+1,99))/100*$F252,$F252/2))</x:f>
      </x:c>
      <x:c r="J252" s="58"/>
      <x:c r="K252" s="58"/>
    </x:row>
    <x:row r="253">
      <x:c r="A253" s="58" t="str">
        <x:f>IF(B253="","",ROW()-1)</x:f>
      </x:c>
      <x:c r="B253" s="89"/>
      <x:c r="C253" s="58"/>
      <x:c r="D253" s="58"/>
      <x:c r="E253" s="58"/>
      <x:c r="F253" s="91"/>
      <x:c r="G253" s="91"/>
      <x:c r="H253" s="91" t="str">
        <x:f>IF($F253="","",IFERROR(VALUE(LEFT($G253,FIND("/",$G253)-1))/100*$F253,$F253/2))</x:f>
      </x:c>
      <x:c r="I253" s="91" t="str">
        <x:f>IF($F253="","",IFERROR(VALUE(MID($G253,FIND("/",$G253)+1,99))/100*$F253,$F253/2))</x:f>
      </x:c>
      <x:c r="J253" s="58"/>
      <x:c r="K253" s="58"/>
    </x:row>
    <x:row r="254">
      <x:c r="A254" s="58" t="str">
        <x:f>IF(B254="","",ROW()-1)</x:f>
      </x:c>
      <x:c r="B254" s="89"/>
      <x:c r="C254" s="58"/>
      <x:c r="D254" s="58"/>
      <x:c r="E254" s="58"/>
      <x:c r="F254" s="91"/>
      <x:c r="G254" s="91"/>
      <x:c r="H254" s="91" t="str">
        <x:f>IF($F254="","",IFERROR(VALUE(LEFT($G254,FIND("/",$G254)-1))/100*$F254,$F254/2))</x:f>
      </x:c>
      <x:c r="I254" s="91" t="str">
        <x:f>IF($F254="","",IFERROR(VALUE(MID($G254,FIND("/",$G254)+1,99))/100*$F254,$F254/2))</x:f>
      </x:c>
      <x:c r="J254" s="58"/>
      <x:c r="K254" s="58"/>
    </x:row>
    <x:row r="255">
      <x:c r="A255" s="58" t="str">
        <x:f>IF(B255="","",ROW()-1)</x:f>
      </x:c>
      <x:c r="B255" s="89"/>
      <x:c r="C255" s="58"/>
      <x:c r="D255" s="58"/>
      <x:c r="E255" s="58"/>
      <x:c r="F255" s="91"/>
      <x:c r="G255" s="91"/>
      <x:c r="H255" s="91" t="str">
        <x:f>IF($F255="","",IFERROR(VALUE(LEFT($G255,FIND("/",$G255)-1))/100*$F255,$F255/2))</x:f>
      </x:c>
      <x:c r="I255" s="91" t="str">
        <x:f>IF($F255="","",IFERROR(VALUE(MID($G255,FIND("/",$G255)+1,99))/100*$F255,$F255/2))</x:f>
      </x:c>
      <x:c r="J255" s="58"/>
      <x:c r="K255" s="58"/>
    </x:row>
    <x:row r="256">
      <x:c r="A256" s="58" t="str">
        <x:f>IF(B256="","",ROW()-1)</x:f>
      </x:c>
      <x:c r="B256" s="89"/>
      <x:c r="C256" s="58"/>
      <x:c r="D256" s="58"/>
      <x:c r="E256" s="58"/>
      <x:c r="F256" s="91"/>
      <x:c r="G256" s="91"/>
      <x:c r="H256" s="91" t="str">
        <x:f>IF($F256="","",IFERROR(VALUE(LEFT($G256,FIND("/",$G256)-1))/100*$F256,$F256/2))</x:f>
      </x:c>
      <x:c r="I256" s="91" t="str">
        <x:f>IF($F256="","",IFERROR(VALUE(MID($G256,FIND("/",$G256)+1,99))/100*$F256,$F256/2))</x:f>
      </x:c>
      <x:c r="J256" s="58"/>
      <x:c r="K256" s="58"/>
    </x:row>
    <x:row r="257">
      <x:c r="A257" s="58" t="str">
        <x:f>IF(B257="","",ROW()-1)</x:f>
      </x:c>
      <x:c r="B257" s="89"/>
      <x:c r="C257" s="58"/>
      <x:c r="D257" s="58"/>
      <x:c r="E257" s="58"/>
      <x:c r="F257" s="91"/>
      <x:c r="G257" s="91"/>
      <x:c r="H257" s="91" t="str">
        <x:f>IF($F257="","",IFERROR(VALUE(LEFT($G257,FIND("/",$G257)-1))/100*$F257,$F257/2))</x:f>
      </x:c>
      <x:c r="I257" s="91" t="str">
        <x:f>IF($F257="","",IFERROR(VALUE(MID($G257,FIND("/",$G257)+1,99))/100*$F257,$F257/2))</x:f>
      </x:c>
      <x:c r="J257" s="58"/>
      <x:c r="K257" s="58"/>
    </x:row>
    <x:row r="258">
      <x:c r="A258" s="58" t="str">
        <x:f>IF(B258="","",ROW()-1)</x:f>
      </x:c>
      <x:c r="B258" s="89"/>
      <x:c r="C258" s="58"/>
      <x:c r="D258" s="58"/>
      <x:c r="E258" s="58"/>
      <x:c r="F258" s="91"/>
      <x:c r="G258" s="91"/>
      <x:c r="H258" s="91" t="str">
        <x:f>IF($F258="","",IFERROR(VALUE(LEFT($G258,FIND("/",$G258)-1))/100*$F258,$F258/2))</x:f>
      </x:c>
      <x:c r="I258" s="91" t="str">
        <x:f>IF($F258="","",IFERROR(VALUE(MID($G258,FIND("/",$G258)+1,99))/100*$F258,$F258/2))</x:f>
      </x:c>
      <x:c r="J258" s="58"/>
      <x:c r="K258" s="58"/>
    </x:row>
    <x:row r="259">
      <x:c r="A259" s="58" t="str">
        <x:f>IF(B259="","",ROW()-1)</x:f>
      </x:c>
      <x:c r="B259" s="89"/>
      <x:c r="C259" s="58"/>
      <x:c r="D259" s="58"/>
      <x:c r="E259" s="58"/>
      <x:c r="F259" s="91"/>
      <x:c r="G259" s="91"/>
      <x:c r="H259" s="91" t="str">
        <x:f>IF($F259="","",IFERROR(VALUE(LEFT($G259,FIND("/",$G259)-1))/100*$F259,$F259/2))</x:f>
      </x:c>
      <x:c r="I259" s="91" t="str">
        <x:f>IF($F259="","",IFERROR(VALUE(MID($G259,FIND("/",$G259)+1,99))/100*$F259,$F259/2))</x:f>
      </x:c>
      <x:c r="J259" s="58"/>
      <x:c r="K259" s="58"/>
    </x:row>
    <x:row r="260">
      <x:c r="A260" s="58" t="str">
        <x:f>IF(B260="","",ROW()-1)</x:f>
      </x:c>
      <x:c r="B260" s="89"/>
      <x:c r="C260" s="58"/>
      <x:c r="D260" s="58"/>
      <x:c r="E260" s="58"/>
      <x:c r="F260" s="91"/>
      <x:c r="G260" s="91"/>
      <x:c r="H260" s="91" t="str">
        <x:f>IF($F260="","",IFERROR(VALUE(LEFT($G260,FIND("/",$G260)-1))/100*$F260,$F260/2))</x:f>
      </x:c>
      <x:c r="I260" s="91" t="str">
        <x:f>IF($F260="","",IFERROR(VALUE(MID($G260,FIND("/",$G260)+1,99))/100*$F260,$F260/2))</x:f>
      </x:c>
      <x:c r="J260" s="58"/>
      <x:c r="K260" s="58"/>
    </x:row>
    <x:row r="261">
      <x:c r="A261" s="58" t="str">
        <x:f>IF(B261="","",ROW()-1)</x:f>
      </x:c>
      <x:c r="B261" s="89"/>
      <x:c r="C261" s="58"/>
      <x:c r="D261" s="58"/>
      <x:c r="E261" s="58"/>
      <x:c r="F261" s="91"/>
      <x:c r="G261" s="91"/>
      <x:c r="H261" s="91" t="str">
        <x:f>IF($F261="","",IFERROR(VALUE(LEFT($G261,FIND("/",$G261)-1))/100*$F261,$F261/2))</x:f>
      </x:c>
      <x:c r="I261" s="91" t="str">
        <x:f>IF($F261="","",IFERROR(VALUE(MID($G261,FIND("/",$G261)+1,99))/100*$F261,$F261/2))</x:f>
      </x:c>
      <x:c r="J261" s="58"/>
      <x:c r="K261" s="58"/>
    </x:row>
    <x:row r="262">
      <x:c r="A262" s="58" t="str">
        <x:f>IF(B262="","",ROW()-1)</x:f>
      </x:c>
      <x:c r="B262" s="89"/>
      <x:c r="C262" s="58"/>
      <x:c r="D262" s="58"/>
      <x:c r="E262" s="58"/>
      <x:c r="F262" s="91"/>
      <x:c r="G262" s="91"/>
      <x:c r="H262" s="91" t="str">
        <x:f>IF($F262="","",IFERROR(VALUE(LEFT($G262,FIND("/",$G262)-1))/100*$F262,$F262/2))</x:f>
      </x:c>
      <x:c r="I262" s="91" t="str">
        <x:f>IF($F262="","",IFERROR(VALUE(MID($G262,FIND("/",$G262)+1,99))/100*$F262,$F262/2))</x:f>
      </x:c>
      <x:c r="J262" s="58"/>
      <x:c r="K262" s="58"/>
    </x:row>
    <x:row r="263">
      <x:c r="A263" s="58" t="str">
        <x:f>IF(B263="","",ROW()-1)</x:f>
      </x:c>
      <x:c r="B263" s="89"/>
      <x:c r="C263" s="58"/>
      <x:c r="D263" s="58"/>
      <x:c r="E263" s="58"/>
      <x:c r="F263" s="91"/>
      <x:c r="G263" s="91"/>
      <x:c r="H263" s="91" t="str">
        <x:f>IF($F263="","",IFERROR(VALUE(LEFT($G263,FIND("/",$G263)-1))/100*$F263,$F263/2))</x:f>
      </x:c>
      <x:c r="I263" s="91" t="str">
        <x:f>IF($F263="","",IFERROR(VALUE(MID($G263,FIND("/",$G263)+1,99))/100*$F263,$F263/2))</x:f>
      </x:c>
      <x:c r="J263" s="58"/>
      <x:c r="K263" s="58"/>
    </x:row>
    <x:row r="264">
      <x:c r="A264" s="58" t="str">
        <x:f>IF(B264="","",ROW()-1)</x:f>
      </x:c>
      <x:c r="B264" s="89"/>
      <x:c r="C264" s="58"/>
      <x:c r="D264" s="58"/>
      <x:c r="E264" s="58"/>
      <x:c r="F264" s="91"/>
      <x:c r="G264" s="91"/>
      <x:c r="H264" s="91" t="str">
        <x:f>IF($F264="","",IFERROR(VALUE(LEFT($G264,FIND("/",$G264)-1))/100*$F264,$F264/2))</x:f>
      </x:c>
      <x:c r="I264" s="91" t="str">
        <x:f>IF($F264="","",IFERROR(VALUE(MID($G264,FIND("/",$G264)+1,99))/100*$F264,$F264/2))</x:f>
      </x:c>
      <x:c r="J264" s="58"/>
      <x:c r="K264" s="58"/>
    </x:row>
    <x:row r="265">
      <x:c r="A265" s="58" t="str">
        <x:f>IF(B265="","",ROW()-1)</x:f>
      </x:c>
      <x:c r="B265" s="89"/>
      <x:c r="C265" s="58"/>
      <x:c r="D265" s="58"/>
      <x:c r="E265" s="58"/>
      <x:c r="F265" s="91"/>
      <x:c r="G265" s="91"/>
      <x:c r="H265" s="91" t="str">
        <x:f>IF($F265="","",IFERROR(VALUE(LEFT($G265,FIND("/",$G265)-1))/100*$F265,$F265/2))</x:f>
      </x:c>
      <x:c r="I265" s="91" t="str">
        <x:f>IF($F265="","",IFERROR(VALUE(MID($G265,FIND("/",$G265)+1,99))/100*$F265,$F265/2))</x:f>
      </x:c>
      <x:c r="J265" s="58"/>
      <x:c r="K265" s="58"/>
    </x:row>
    <x:row r="266">
      <x:c r="A266" s="58" t="str">
        <x:f>IF(B266="","",ROW()-1)</x:f>
      </x:c>
      <x:c r="B266" s="89"/>
      <x:c r="C266" s="58"/>
      <x:c r="D266" s="58"/>
      <x:c r="E266" s="58"/>
      <x:c r="F266" s="91"/>
      <x:c r="G266" s="91"/>
      <x:c r="H266" s="91" t="str">
        <x:f>IF($F266="","",IFERROR(VALUE(LEFT($G266,FIND("/",$G266)-1))/100*$F266,$F266/2))</x:f>
      </x:c>
      <x:c r="I266" s="91" t="str">
        <x:f>IF($F266="","",IFERROR(VALUE(MID($G266,FIND("/",$G266)+1,99))/100*$F266,$F266/2))</x:f>
      </x:c>
      <x:c r="J266" s="58"/>
      <x:c r="K266" s="58"/>
    </x:row>
    <x:row r="267">
      <x:c r="A267" s="58" t="str">
        <x:f>IF(B267="","",ROW()-1)</x:f>
      </x:c>
      <x:c r="B267" s="89"/>
      <x:c r="C267" s="58"/>
      <x:c r="D267" s="58"/>
      <x:c r="E267" s="58"/>
      <x:c r="F267" s="91"/>
      <x:c r="G267" s="91"/>
      <x:c r="H267" s="91" t="str">
        <x:f>IF($F267="","",IFERROR(VALUE(LEFT($G267,FIND("/",$G267)-1))/100*$F267,$F267/2))</x:f>
      </x:c>
      <x:c r="I267" s="91" t="str">
        <x:f>IF($F267="","",IFERROR(VALUE(MID($G267,FIND("/",$G267)+1,99))/100*$F267,$F267/2))</x:f>
      </x:c>
      <x:c r="J267" s="58"/>
      <x:c r="K267" s="58"/>
    </x:row>
    <x:row r="268">
      <x:c r="A268" s="58" t="str">
        <x:f>IF(B268="","",ROW()-1)</x:f>
      </x:c>
      <x:c r="B268" s="89"/>
      <x:c r="C268" s="58"/>
      <x:c r="D268" s="58"/>
      <x:c r="E268" s="58"/>
      <x:c r="F268" s="91"/>
      <x:c r="G268" s="91"/>
      <x:c r="H268" s="91" t="str">
        <x:f>IF($F268="","",IFERROR(VALUE(LEFT($G268,FIND("/",$G268)-1))/100*$F268,$F268/2))</x:f>
      </x:c>
      <x:c r="I268" s="91" t="str">
        <x:f>IF($F268="","",IFERROR(VALUE(MID($G268,FIND("/",$G268)+1,99))/100*$F268,$F268/2))</x:f>
      </x:c>
      <x:c r="J268" s="58"/>
      <x:c r="K268" s="58"/>
    </x:row>
    <x:row r="269">
      <x:c r="A269" s="58" t="str">
        <x:f>IF(B269="","",ROW()-1)</x:f>
      </x:c>
      <x:c r="B269" s="89"/>
      <x:c r="C269" s="58"/>
      <x:c r="D269" s="58"/>
      <x:c r="E269" s="58"/>
      <x:c r="F269" s="91"/>
      <x:c r="G269" s="91"/>
      <x:c r="H269" s="91" t="str">
        <x:f>IF($F269="","",IFERROR(VALUE(LEFT($G269,FIND("/",$G269)-1))/100*$F269,$F269/2))</x:f>
      </x:c>
      <x:c r="I269" s="91" t="str">
        <x:f>IF($F269="","",IFERROR(VALUE(MID($G269,FIND("/",$G269)+1,99))/100*$F269,$F269/2))</x:f>
      </x:c>
      <x:c r="J269" s="58"/>
      <x:c r="K269" s="58"/>
    </x:row>
    <x:row r="270">
      <x:c r="A270" s="58" t="str">
        <x:f>IF(B270="","",ROW()-1)</x:f>
      </x:c>
      <x:c r="B270" s="89"/>
      <x:c r="C270" s="58"/>
      <x:c r="D270" s="58"/>
      <x:c r="E270" s="58"/>
      <x:c r="F270" s="91"/>
      <x:c r="G270" s="91"/>
      <x:c r="H270" s="91" t="str">
        <x:f>IF($F270="","",IFERROR(VALUE(LEFT($G270,FIND("/",$G270)-1))/100*$F270,$F270/2))</x:f>
      </x:c>
      <x:c r="I270" s="91" t="str">
        <x:f>IF($F270="","",IFERROR(VALUE(MID($G270,FIND("/",$G270)+1,99))/100*$F270,$F270/2))</x:f>
      </x:c>
      <x:c r="J270" s="58"/>
      <x:c r="K270" s="58"/>
    </x:row>
    <x:row r="271">
      <x:c r="A271" s="58" t="str">
        <x:f>IF(B271="","",ROW()-1)</x:f>
      </x:c>
      <x:c r="B271" s="89"/>
      <x:c r="C271" s="58"/>
      <x:c r="D271" s="58"/>
      <x:c r="E271" s="58"/>
      <x:c r="F271" s="91"/>
      <x:c r="G271" s="91"/>
      <x:c r="H271" s="91" t="str">
        <x:f>IF($F271="","",IFERROR(VALUE(LEFT($G271,FIND("/",$G271)-1))/100*$F271,$F271/2))</x:f>
      </x:c>
      <x:c r="I271" s="91" t="str">
        <x:f>IF($F271="","",IFERROR(VALUE(MID($G271,FIND("/",$G271)+1,99))/100*$F271,$F271/2))</x:f>
      </x:c>
      <x:c r="J271" s="58"/>
      <x:c r="K271" s="58"/>
    </x:row>
    <x:row r="272">
      <x:c r="A272" s="58" t="str">
        <x:f>IF(B272="","",ROW()-1)</x:f>
      </x:c>
      <x:c r="B272" s="89"/>
      <x:c r="C272" s="58"/>
      <x:c r="D272" s="58"/>
      <x:c r="E272" s="58"/>
      <x:c r="F272" s="91"/>
      <x:c r="G272" s="91"/>
      <x:c r="H272" s="91" t="str">
        <x:f>IF($F272="","",IFERROR(VALUE(LEFT($G272,FIND("/",$G272)-1))/100*$F272,$F272/2))</x:f>
      </x:c>
      <x:c r="I272" s="91" t="str">
        <x:f>IF($F272="","",IFERROR(VALUE(MID($G272,FIND("/",$G272)+1,99))/100*$F272,$F272/2))</x:f>
      </x:c>
      <x:c r="J272" s="58"/>
      <x:c r="K272" s="58"/>
    </x:row>
    <x:row r="273">
      <x:c r="A273" s="58" t="str">
        <x:f>IF(B273="","",ROW()-1)</x:f>
      </x:c>
      <x:c r="B273" s="89"/>
      <x:c r="C273" s="58"/>
      <x:c r="D273" s="58"/>
      <x:c r="E273" s="58"/>
      <x:c r="F273" s="91"/>
      <x:c r="G273" s="91"/>
      <x:c r="H273" s="91" t="str">
        <x:f>IF($F273="","",IFERROR(VALUE(LEFT($G273,FIND("/",$G273)-1))/100*$F273,$F273/2))</x:f>
      </x:c>
      <x:c r="I273" s="91" t="str">
        <x:f>IF($F273="","",IFERROR(VALUE(MID($G273,FIND("/",$G273)+1,99))/100*$F273,$F273/2))</x:f>
      </x:c>
      <x:c r="J273" s="58"/>
      <x:c r="K273" s="58"/>
    </x:row>
    <x:row r="274">
      <x:c r="A274" s="58" t="str">
        <x:f>IF(B274="","",ROW()-1)</x:f>
      </x:c>
      <x:c r="B274" s="89"/>
      <x:c r="C274" s="58"/>
      <x:c r="D274" s="58"/>
      <x:c r="E274" s="58"/>
      <x:c r="F274" s="91"/>
      <x:c r="G274" s="91"/>
      <x:c r="H274" s="91" t="str">
        <x:f>IF($F274="","",IFERROR(VALUE(LEFT($G274,FIND("/",$G274)-1))/100*$F274,$F274/2))</x:f>
      </x:c>
      <x:c r="I274" s="91" t="str">
        <x:f>IF($F274="","",IFERROR(VALUE(MID($G274,FIND("/",$G274)+1,99))/100*$F274,$F274/2))</x:f>
      </x:c>
      <x:c r="J274" s="58"/>
      <x:c r="K274" s="58"/>
    </x:row>
    <x:row r="275">
      <x:c r="A275" s="58" t="str">
        <x:f>IF(B275="","",ROW()-1)</x:f>
      </x:c>
      <x:c r="B275" s="89"/>
      <x:c r="C275" s="58"/>
      <x:c r="D275" s="58"/>
      <x:c r="E275" s="58"/>
      <x:c r="F275" s="91"/>
      <x:c r="G275" s="91"/>
      <x:c r="H275" s="91" t="str">
        <x:f>IF($F275="","",IFERROR(VALUE(LEFT($G275,FIND("/",$G275)-1))/100*$F275,$F275/2))</x:f>
      </x:c>
      <x:c r="I275" s="91" t="str">
        <x:f>IF($F275="","",IFERROR(VALUE(MID($G275,FIND("/",$G275)+1,99))/100*$F275,$F275/2))</x:f>
      </x:c>
      <x:c r="J275" s="58"/>
      <x:c r="K275" s="58"/>
    </x:row>
    <x:row r="276">
      <x:c r="A276" s="58" t="str">
        <x:f>IF(B276="","",ROW()-1)</x:f>
      </x:c>
      <x:c r="B276" s="89"/>
      <x:c r="C276" s="58"/>
      <x:c r="D276" s="58"/>
      <x:c r="E276" s="58"/>
      <x:c r="F276" s="91"/>
      <x:c r="G276" s="91"/>
      <x:c r="H276" s="91" t="str">
        <x:f>IF($F276="","",IFERROR(VALUE(LEFT($G276,FIND("/",$G276)-1))/100*$F276,$F276/2))</x:f>
      </x:c>
      <x:c r="I276" s="91" t="str">
        <x:f>IF($F276="","",IFERROR(VALUE(MID($G276,FIND("/",$G276)+1,99))/100*$F276,$F276/2))</x:f>
      </x:c>
      <x:c r="J276" s="58"/>
      <x:c r="K276" s="58"/>
    </x:row>
    <x:row r="277">
      <x:c r="A277" s="58" t="str">
        <x:f>IF(B277="","",ROW()-1)</x:f>
      </x:c>
      <x:c r="B277" s="89"/>
      <x:c r="C277" s="58"/>
      <x:c r="D277" s="58"/>
      <x:c r="E277" s="58"/>
      <x:c r="F277" s="91"/>
      <x:c r="G277" s="91"/>
      <x:c r="H277" s="91" t="str">
        <x:f>IF($F277="","",IFERROR(VALUE(LEFT($G277,FIND("/",$G277)-1))/100*$F277,$F277/2))</x:f>
      </x:c>
      <x:c r="I277" s="91" t="str">
        <x:f>IF($F277="","",IFERROR(VALUE(MID($G277,FIND("/",$G277)+1,99))/100*$F277,$F277/2))</x:f>
      </x:c>
      <x:c r="J277" s="58"/>
      <x:c r="K277" s="58"/>
    </x:row>
    <x:row r="278">
      <x:c r="A278" s="58" t="str">
        <x:f>IF(B278="","",ROW()-1)</x:f>
      </x:c>
      <x:c r="B278" s="89"/>
      <x:c r="C278" s="58"/>
      <x:c r="D278" s="58"/>
      <x:c r="E278" s="58"/>
      <x:c r="F278" s="91"/>
      <x:c r="G278" s="91"/>
      <x:c r="H278" s="91" t="str">
        <x:f>IF($F278="","",IFERROR(VALUE(LEFT($G278,FIND("/",$G278)-1))/100*$F278,$F278/2))</x:f>
      </x:c>
      <x:c r="I278" s="91" t="str">
        <x:f>IF($F278="","",IFERROR(VALUE(MID($G278,FIND("/",$G278)+1,99))/100*$F278,$F278/2))</x:f>
      </x:c>
      <x:c r="J278" s="58"/>
      <x:c r="K278" s="58"/>
    </x:row>
    <x:row r="279">
      <x:c r="A279" s="58" t="str">
        <x:f>IF(B279="","",ROW()-1)</x:f>
      </x:c>
      <x:c r="B279" s="89"/>
      <x:c r="C279" s="58"/>
      <x:c r="D279" s="58"/>
      <x:c r="E279" s="58"/>
      <x:c r="F279" s="91"/>
      <x:c r="G279" s="91"/>
      <x:c r="H279" s="91" t="str">
        <x:f>IF($F279="","",IFERROR(VALUE(LEFT($G279,FIND("/",$G279)-1))/100*$F279,$F279/2))</x:f>
      </x:c>
      <x:c r="I279" s="91" t="str">
        <x:f>IF($F279="","",IFERROR(VALUE(MID($G279,FIND("/",$G279)+1,99))/100*$F279,$F279/2))</x:f>
      </x:c>
      <x:c r="J279" s="58"/>
      <x:c r="K279" s="58"/>
    </x:row>
    <x:row r="280">
      <x:c r="A280" s="58" t="str">
        <x:f>IF(B280="","",ROW()-1)</x:f>
      </x:c>
      <x:c r="B280" s="89"/>
      <x:c r="C280" s="58"/>
      <x:c r="D280" s="58"/>
      <x:c r="E280" s="58"/>
      <x:c r="F280" s="91"/>
      <x:c r="G280" s="91"/>
      <x:c r="H280" s="91" t="str">
        <x:f>IF($F280="","",IFERROR(VALUE(LEFT($G280,FIND("/",$G280)-1))/100*$F280,$F280/2))</x:f>
      </x:c>
      <x:c r="I280" s="91" t="str">
        <x:f>IF($F280="","",IFERROR(VALUE(MID($G280,FIND("/",$G280)+1,99))/100*$F280,$F280/2))</x:f>
      </x:c>
      <x:c r="J280" s="58"/>
      <x:c r="K280" s="58"/>
    </x:row>
    <x:row r="281">
      <x:c r="A281" s="58" t="str">
        <x:f>IF(B281="","",ROW()-1)</x:f>
      </x:c>
      <x:c r="B281" s="89"/>
      <x:c r="C281" s="58"/>
      <x:c r="D281" s="58"/>
      <x:c r="E281" s="58"/>
      <x:c r="F281" s="91"/>
      <x:c r="G281" s="91"/>
      <x:c r="H281" s="91" t="str">
        <x:f>IF($F281="","",IFERROR(VALUE(LEFT($G281,FIND("/",$G281)-1))/100*$F281,$F281/2))</x:f>
      </x:c>
      <x:c r="I281" s="91" t="str">
        <x:f>IF($F281="","",IFERROR(VALUE(MID($G281,FIND("/",$G281)+1,99))/100*$F281,$F281/2))</x:f>
      </x:c>
      <x:c r="J281" s="58"/>
      <x:c r="K281" s="58"/>
    </x:row>
    <x:row r="282">
      <x:c r="A282" s="58" t="str">
        <x:f>IF(B282="","",ROW()-1)</x:f>
      </x:c>
      <x:c r="B282" s="89"/>
      <x:c r="C282" s="58"/>
      <x:c r="D282" s="58"/>
      <x:c r="E282" s="58"/>
      <x:c r="F282" s="91"/>
      <x:c r="G282" s="91"/>
      <x:c r="H282" s="91" t="str">
        <x:f>IF($F282="","",IFERROR(VALUE(LEFT($G282,FIND("/",$G282)-1))/100*$F282,$F282/2))</x:f>
      </x:c>
      <x:c r="I282" s="91" t="str">
        <x:f>IF($F282="","",IFERROR(VALUE(MID($G282,FIND("/",$G282)+1,99))/100*$F282,$F282/2))</x:f>
      </x:c>
      <x:c r="J282" s="58"/>
      <x:c r="K282" s="58"/>
    </x:row>
    <x:row r="283">
      <x:c r="A283" s="58" t="str">
        <x:f>IF(B283="","",ROW()-1)</x:f>
      </x:c>
      <x:c r="B283" s="89"/>
      <x:c r="C283" s="58"/>
      <x:c r="D283" s="58"/>
      <x:c r="E283" s="58"/>
      <x:c r="F283" s="91"/>
      <x:c r="G283" s="91"/>
      <x:c r="H283" s="91" t="str">
        <x:f>IF($F283="","",IFERROR(VALUE(LEFT($G283,FIND("/",$G283)-1))/100*$F283,$F283/2))</x:f>
      </x:c>
      <x:c r="I283" s="91" t="str">
        <x:f>IF($F283="","",IFERROR(VALUE(MID($G283,FIND("/",$G283)+1,99))/100*$F283,$F283/2))</x:f>
      </x:c>
      <x:c r="J283" s="58"/>
      <x:c r="K283" s="58"/>
    </x:row>
    <x:row r="284">
      <x:c r="A284" s="58" t="str">
        <x:f>IF(B284="","",ROW()-1)</x:f>
      </x:c>
      <x:c r="B284" s="89"/>
      <x:c r="C284" s="58"/>
      <x:c r="D284" s="58"/>
      <x:c r="E284" s="58"/>
      <x:c r="F284" s="91"/>
      <x:c r="G284" s="91"/>
      <x:c r="H284" s="91" t="str">
        <x:f>IF($F284="","",IFERROR(VALUE(LEFT($G284,FIND("/",$G284)-1))/100*$F284,$F284/2))</x:f>
      </x:c>
      <x:c r="I284" s="91" t="str">
        <x:f>IF($F284="","",IFERROR(VALUE(MID($G284,FIND("/",$G284)+1,99))/100*$F284,$F284/2))</x:f>
      </x:c>
      <x:c r="J284" s="58"/>
      <x:c r="K284" s="58"/>
    </x:row>
    <x:row r="285">
      <x:c r="A285" s="58" t="str">
        <x:f>IF(B285="","",ROW()-1)</x:f>
      </x:c>
      <x:c r="B285" s="89"/>
      <x:c r="C285" s="58"/>
      <x:c r="D285" s="58"/>
      <x:c r="E285" s="58"/>
      <x:c r="F285" s="91"/>
      <x:c r="G285" s="91"/>
      <x:c r="H285" s="91" t="str">
        <x:f>IF($F285="","",IFERROR(VALUE(LEFT($G285,FIND("/",$G285)-1))/100*$F285,$F285/2))</x:f>
      </x:c>
      <x:c r="I285" s="91" t="str">
        <x:f>IF($F285="","",IFERROR(VALUE(MID($G285,FIND("/",$G285)+1,99))/100*$F285,$F285/2))</x:f>
      </x:c>
      <x:c r="J285" s="58"/>
      <x:c r="K285" s="58"/>
    </x:row>
    <x:row r="286">
      <x:c r="A286" s="58" t="str">
        <x:f>IF(B286="","",ROW()-1)</x:f>
      </x:c>
      <x:c r="B286" s="89"/>
      <x:c r="C286" s="58"/>
      <x:c r="D286" s="58"/>
      <x:c r="E286" s="58"/>
      <x:c r="F286" s="91"/>
      <x:c r="G286" s="91"/>
      <x:c r="H286" s="91" t="str">
        <x:f>IF($F286="","",IFERROR(VALUE(LEFT($G286,FIND("/",$G286)-1))/100*$F286,$F286/2))</x:f>
      </x:c>
      <x:c r="I286" s="91" t="str">
        <x:f>IF($F286="","",IFERROR(VALUE(MID($G286,FIND("/",$G286)+1,99))/100*$F286,$F286/2))</x:f>
      </x:c>
      <x:c r="J286" s="58"/>
      <x:c r="K286" s="58"/>
    </x:row>
    <x:row r="287">
      <x:c r="A287" s="58" t="str">
        <x:f>IF(B287="","",ROW()-1)</x:f>
      </x:c>
      <x:c r="B287" s="89"/>
      <x:c r="C287" s="58"/>
      <x:c r="D287" s="58"/>
      <x:c r="E287" s="58"/>
      <x:c r="F287" s="91"/>
      <x:c r="G287" s="91"/>
      <x:c r="H287" s="91" t="str">
        <x:f>IF($F287="","",IFERROR(VALUE(LEFT($G287,FIND("/",$G287)-1))/100*$F287,$F287/2))</x:f>
      </x:c>
      <x:c r="I287" s="91" t="str">
        <x:f>IF($F287="","",IFERROR(VALUE(MID($G287,FIND("/",$G287)+1,99))/100*$F287,$F287/2))</x:f>
      </x:c>
      <x:c r="J287" s="58"/>
      <x:c r="K287" s="58"/>
    </x:row>
    <x:row r="288">
      <x:c r="A288" s="58" t="str">
        <x:f>IF(B288="","",ROW()-1)</x:f>
      </x:c>
      <x:c r="B288" s="89"/>
      <x:c r="C288" s="58"/>
      <x:c r="D288" s="58"/>
      <x:c r="E288" s="58"/>
      <x:c r="F288" s="91"/>
      <x:c r="G288" s="91"/>
      <x:c r="H288" s="91" t="str">
        <x:f>IF($F288="","",IFERROR(VALUE(LEFT($G288,FIND("/",$G288)-1))/100*$F288,$F288/2))</x:f>
      </x:c>
      <x:c r="I288" s="91" t="str">
        <x:f>IF($F288="","",IFERROR(VALUE(MID($G288,FIND("/",$G288)+1,99))/100*$F288,$F288/2))</x:f>
      </x:c>
      <x:c r="J288" s="58"/>
      <x:c r="K288" s="58"/>
    </x:row>
    <x:row r="289">
      <x:c r="A289" s="58" t="str">
        <x:f>IF(B289="","",ROW()-1)</x:f>
      </x:c>
      <x:c r="B289" s="89"/>
      <x:c r="C289" s="58"/>
      <x:c r="D289" s="58"/>
      <x:c r="E289" s="58"/>
      <x:c r="F289" s="91"/>
      <x:c r="G289" s="91"/>
      <x:c r="H289" s="91" t="str">
        <x:f>IF($F289="","",IFERROR(VALUE(LEFT($G289,FIND("/",$G289)-1))/100*$F289,$F289/2))</x:f>
      </x:c>
      <x:c r="I289" s="91" t="str">
        <x:f>IF($F289="","",IFERROR(VALUE(MID($G289,FIND("/",$G289)+1,99))/100*$F289,$F289/2))</x:f>
      </x:c>
      <x:c r="J289" s="58"/>
      <x:c r="K289" s="58"/>
    </x:row>
    <x:row r="290">
      <x:c r="A290" s="58" t="str">
        <x:f>IF(B290="","",ROW()-1)</x:f>
      </x:c>
      <x:c r="B290" s="89"/>
      <x:c r="C290" s="58"/>
      <x:c r="D290" s="58"/>
      <x:c r="E290" s="58"/>
      <x:c r="F290" s="91"/>
      <x:c r="G290" s="91"/>
      <x:c r="H290" s="91" t="str">
        <x:f>IF($F290="","",IFERROR(VALUE(LEFT($G290,FIND("/",$G290)-1))/100*$F290,$F290/2))</x:f>
      </x:c>
      <x:c r="I290" s="91" t="str">
        <x:f>IF($F290="","",IFERROR(VALUE(MID($G290,FIND("/",$G290)+1,99))/100*$F290,$F290/2))</x:f>
      </x:c>
      <x:c r="J290" s="58"/>
      <x:c r="K290" s="58"/>
    </x:row>
    <x:row r="291">
      <x:c r="A291" s="58" t="str">
        <x:f>IF(B291="","",ROW()-1)</x:f>
      </x:c>
      <x:c r="B291" s="89"/>
      <x:c r="C291" s="58"/>
      <x:c r="D291" s="58"/>
      <x:c r="E291" s="58"/>
      <x:c r="F291" s="91"/>
      <x:c r="G291" s="91"/>
      <x:c r="H291" s="91" t="str">
        <x:f>IF($F291="","",IFERROR(VALUE(LEFT($G291,FIND("/",$G291)-1))/100*$F291,$F291/2))</x:f>
      </x:c>
      <x:c r="I291" s="91" t="str">
        <x:f>IF($F291="","",IFERROR(VALUE(MID($G291,FIND("/",$G291)+1,99))/100*$F291,$F291/2))</x:f>
      </x:c>
      <x:c r="J291" s="58"/>
      <x:c r="K291" s="58"/>
    </x:row>
    <x:row r="292">
      <x:c r="A292" s="58" t="str">
        <x:f>IF(B292="","",ROW()-1)</x:f>
      </x:c>
      <x:c r="B292" s="89"/>
      <x:c r="C292" s="58"/>
      <x:c r="D292" s="58"/>
      <x:c r="E292" s="58"/>
      <x:c r="F292" s="91"/>
      <x:c r="G292" s="91"/>
      <x:c r="H292" s="91" t="str">
        <x:f>IF($F292="","",IFERROR(VALUE(LEFT($G292,FIND("/",$G292)-1))/100*$F292,$F292/2))</x:f>
      </x:c>
      <x:c r="I292" s="91" t="str">
        <x:f>IF($F292="","",IFERROR(VALUE(MID($G292,FIND("/",$G292)+1,99))/100*$F292,$F292/2))</x:f>
      </x:c>
      <x:c r="J292" s="58"/>
      <x:c r="K292" s="58"/>
    </x:row>
    <x:row r="293">
      <x:c r="A293" s="58" t="str">
        <x:f>IF(B293="","",ROW()-1)</x:f>
      </x:c>
      <x:c r="B293" s="89"/>
      <x:c r="C293" s="58"/>
      <x:c r="D293" s="58"/>
      <x:c r="E293" s="58"/>
      <x:c r="F293" s="91"/>
      <x:c r="G293" s="91"/>
      <x:c r="H293" s="91" t="str">
        <x:f>IF($F293="","",IFERROR(VALUE(LEFT($G293,FIND("/",$G293)-1))/100*$F293,$F293/2))</x:f>
      </x:c>
      <x:c r="I293" s="91" t="str">
        <x:f>IF($F293="","",IFERROR(VALUE(MID($G293,FIND("/",$G293)+1,99))/100*$F293,$F293/2))</x:f>
      </x:c>
      <x:c r="J293" s="58"/>
      <x:c r="K293" s="58"/>
    </x:row>
    <x:row r="294">
      <x:c r="A294" s="58" t="str">
        <x:f>IF(B294="","",ROW()-1)</x:f>
      </x:c>
      <x:c r="B294" s="89"/>
      <x:c r="C294" s="58"/>
      <x:c r="D294" s="58"/>
      <x:c r="E294" s="58"/>
      <x:c r="F294" s="91"/>
      <x:c r="G294" s="91"/>
      <x:c r="H294" s="91" t="str">
        <x:f>IF($F294="","",IFERROR(VALUE(LEFT($G294,FIND("/",$G294)-1))/100*$F294,$F294/2))</x:f>
      </x:c>
      <x:c r="I294" s="91" t="str">
        <x:f>IF($F294="","",IFERROR(VALUE(MID($G294,FIND("/",$G294)+1,99))/100*$F294,$F294/2))</x:f>
      </x:c>
      <x:c r="J294" s="58"/>
      <x:c r="K294" s="58"/>
    </x:row>
    <x:row r="295">
      <x:c r="A295" s="58" t="str">
        <x:f>IF(B295="","",ROW()-1)</x:f>
      </x:c>
      <x:c r="B295" s="89"/>
      <x:c r="C295" s="58"/>
      <x:c r="D295" s="58"/>
      <x:c r="E295" s="58"/>
      <x:c r="F295" s="91"/>
      <x:c r="G295" s="91"/>
      <x:c r="H295" s="91" t="str">
        <x:f>IF($F295="","",IFERROR(VALUE(LEFT($G295,FIND("/",$G295)-1))/100*$F295,$F295/2))</x:f>
      </x:c>
      <x:c r="I295" s="91" t="str">
        <x:f>IF($F295="","",IFERROR(VALUE(MID($G295,FIND("/",$G295)+1,99))/100*$F295,$F295/2))</x:f>
      </x:c>
      <x:c r="J295" s="58"/>
      <x:c r="K295" s="58"/>
    </x:row>
    <x:row r="296">
      <x:c r="A296" s="58" t="str">
        <x:f>IF(B296="","",ROW()-1)</x:f>
      </x:c>
      <x:c r="B296" s="89"/>
      <x:c r="C296" s="58"/>
      <x:c r="D296" s="58"/>
      <x:c r="E296" s="58"/>
      <x:c r="F296" s="91"/>
      <x:c r="G296" s="91"/>
      <x:c r="H296" s="91" t="str">
        <x:f>IF($F296="","",IFERROR(VALUE(LEFT($G296,FIND("/",$G296)-1))/100*$F296,$F296/2))</x:f>
      </x:c>
      <x:c r="I296" s="91" t="str">
        <x:f>IF($F296="","",IFERROR(VALUE(MID($G296,FIND("/",$G296)+1,99))/100*$F296,$F296/2))</x:f>
      </x:c>
      <x:c r="J296" s="58"/>
      <x:c r="K296" s="58"/>
    </x:row>
    <x:row r="297">
      <x:c r="A297" s="58" t="str">
        <x:f>IF(B297="","",ROW()-1)</x:f>
      </x:c>
      <x:c r="B297" s="89"/>
      <x:c r="C297" s="58"/>
      <x:c r="D297" s="58"/>
      <x:c r="E297" s="58"/>
      <x:c r="F297" s="91"/>
      <x:c r="G297" s="91"/>
      <x:c r="H297" s="91" t="str">
        <x:f>IF($F297="","",IFERROR(VALUE(LEFT($G297,FIND("/",$G297)-1))/100*$F297,$F297/2))</x:f>
      </x:c>
      <x:c r="I297" s="91" t="str">
        <x:f>IF($F297="","",IFERROR(VALUE(MID($G297,FIND("/",$G297)+1,99))/100*$F297,$F297/2))</x:f>
      </x:c>
      <x:c r="J297" s="58"/>
      <x:c r="K297" s="58"/>
    </x:row>
    <x:row r="298">
      <x:c r="A298" s="58" t="str">
        <x:f>IF(B298="","",ROW()-1)</x:f>
      </x:c>
      <x:c r="B298" s="89"/>
      <x:c r="C298" s="58"/>
      <x:c r="D298" s="58"/>
      <x:c r="E298" s="58"/>
      <x:c r="F298" s="91"/>
      <x:c r="G298" s="91"/>
      <x:c r="H298" s="91" t="str">
        <x:f>IF($F298="","",IFERROR(VALUE(LEFT($G298,FIND("/",$G298)-1))/100*$F298,$F298/2))</x:f>
      </x:c>
      <x:c r="I298" s="91" t="str">
        <x:f>IF($F298="","",IFERROR(VALUE(MID($G298,FIND("/",$G298)+1,99))/100*$F298,$F298/2))</x:f>
      </x:c>
      <x:c r="J298" s="58"/>
      <x:c r="K298" s="58"/>
    </x:row>
    <x:row r="299">
      <x:c r="A299" s="58" t="str">
        <x:f>IF(B299="","",ROW()-1)</x:f>
      </x:c>
      <x:c r="B299" s="89"/>
      <x:c r="C299" s="58"/>
      <x:c r="D299" s="58"/>
      <x:c r="E299" s="58"/>
      <x:c r="F299" s="91"/>
      <x:c r="G299" s="91"/>
      <x:c r="H299" s="91" t="str">
        <x:f>IF($F299="","",IFERROR(VALUE(LEFT($G299,FIND("/",$G299)-1))/100*$F299,$F299/2))</x:f>
      </x:c>
      <x:c r="I299" s="91" t="str">
        <x:f>IF($F299="","",IFERROR(VALUE(MID($G299,FIND("/",$G299)+1,99))/100*$F299,$F299/2))</x:f>
      </x:c>
      <x:c r="J299" s="58"/>
      <x:c r="K299" s="58"/>
    </x:row>
    <x:row r="300">
      <x:c r="A300" s="58" t="str">
        <x:f>IF(B300="","",ROW()-1)</x:f>
      </x:c>
      <x:c r="B300" s="89"/>
      <x:c r="C300" s="58"/>
      <x:c r="D300" s="58"/>
      <x:c r="E300" s="58"/>
      <x:c r="F300" s="91"/>
      <x:c r="G300" s="91"/>
      <x:c r="H300" s="91" t="str">
        <x:f>IF($F300="","",IFERROR(VALUE(LEFT($G300,FIND("/",$G300)-1))/100*$F300,$F300/2))</x:f>
      </x:c>
      <x:c r="I300" s="91" t="str">
        <x:f>IF($F300="","",IFERROR(VALUE(MID($G300,FIND("/",$G300)+1,99))/100*$F300,$F300/2))</x:f>
      </x:c>
      <x:c r="J300" s="58"/>
      <x:c r="K300" s="58"/>
    </x:row>
    <x:row r="301">
      <x:c r="A301" s="58" t="str">
        <x:f>IF(B301="","",ROW()-1)</x:f>
      </x:c>
      <x:c r="B301" s="89"/>
      <x:c r="C301" s="58"/>
      <x:c r="D301" s="58"/>
      <x:c r="E301" s="58"/>
      <x:c r="F301" s="91"/>
      <x:c r="G301" s="91"/>
      <x:c r="H301" s="91" t="str">
        <x:f>IF($F301="","",IFERROR(VALUE(LEFT($G301,FIND("/",$G301)-1))/100*$F301,$F301/2))</x:f>
      </x:c>
      <x:c r="I301" s="91" t="str">
        <x:f>IF($F301="","",IFERROR(VALUE(MID($G301,FIND("/",$G301)+1,99))/100*$F301,$F301/2))</x:f>
      </x:c>
      <x:c r="J301" s="58"/>
      <x:c r="K301" s="58"/>
    </x:row>
    <x:row r="302">
      <x:c r="A302" s="58" t="str">
        <x:f>IF(B302="","",ROW()-1)</x:f>
      </x:c>
      <x:c r="B302" s="89"/>
      <x:c r="C302" s="58"/>
      <x:c r="D302" s="58"/>
      <x:c r="E302" s="58"/>
      <x:c r="F302" s="91"/>
      <x:c r="G302" s="91"/>
      <x:c r="H302" s="91" t="str">
        <x:f>IF($F302="","",IFERROR(VALUE(LEFT($G302,FIND("/",$G302)-1))/100*$F302,$F302/2))</x:f>
      </x:c>
      <x:c r="I302" s="91" t="str">
        <x:f>IF($F302="","",IFERROR(VALUE(MID($G302,FIND("/",$G302)+1,99))/100*$F302,$F302/2))</x:f>
      </x:c>
      <x:c r="J302" s="58"/>
      <x:c r="K302" s="58"/>
    </x:row>
    <x:row r="303">
      <x:c r="A303" s="58" t="str">
        <x:f>IF(B303="","",ROW()-1)</x:f>
      </x:c>
      <x:c r="B303" s="89"/>
      <x:c r="C303" s="58"/>
      <x:c r="D303" s="58"/>
      <x:c r="E303" s="58"/>
      <x:c r="F303" s="91"/>
      <x:c r="G303" s="91"/>
      <x:c r="H303" s="91" t="str">
        <x:f>IF($F303="","",IFERROR(VALUE(LEFT($G303,FIND("/",$G303)-1))/100*$F303,$F303/2))</x:f>
      </x:c>
      <x:c r="I303" s="91" t="str">
        <x:f>IF($F303="","",IFERROR(VALUE(MID($G303,FIND("/",$G303)+1,99))/100*$F303,$F303/2))</x:f>
      </x:c>
      <x:c r="J303" s="58"/>
      <x:c r="K303" s="58"/>
    </x:row>
    <x:row r="304">
      <x:c r="A304" s="58" t="str">
        <x:f>IF(B304="","",ROW()-1)</x:f>
      </x:c>
      <x:c r="B304" s="89"/>
      <x:c r="C304" s="58"/>
      <x:c r="D304" s="58"/>
      <x:c r="E304" s="58"/>
      <x:c r="F304" s="91"/>
      <x:c r="G304" s="91"/>
      <x:c r="H304" s="91" t="str">
        <x:f>IF($F304="","",IFERROR(VALUE(LEFT($G304,FIND("/",$G304)-1))/100*$F304,$F304/2))</x:f>
      </x:c>
      <x:c r="I304" s="91" t="str">
        <x:f>IF($F304="","",IFERROR(VALUE(MID($G304,FIND("/",$G304)+1,99))/100*$F304,$F304/2))</x:f>
      </x:c>
      <x:c r="J304" s="58"/>
      <x:c r="K304" s="58"/>
    </x:row>
    <x:row r="305">
      <x:c r="A305" s="58" t="str">
        <x:f>IF(B305="","",ROW()-1)</x:f>
      </x:c>
      <x:c r="B305" s="89"/>
      <x:c r="C305" s="58"/>
      <x:c r="D305" s="58"/>
      <x:c r="E305" s="58"/>
      <x:c r="F305" s="91"/>
      <x:c r="G305" s="91"/>
      <x:c r="H305" s="91" t="str">
        <x:f>IF($F305="","",IFERROR(VALUE(LEFT($G305,FIND("/",$G305)-1))/100*$F305,$F305/2))</x:f>
      </x:c>
      <x:c r="I305" s="91" t="str">
        <x:f>IF($F305="","",IFERROR(VALUE(MID($G305,FIND("/",$G305)+1,99))/100*$F305,$F305/2))</x:f>
      </x:c>
      <x:c r="J305" s="58"/>
      <x:c r="K305" s="58"/>
    </x:row>
    <x:row r="306">
      <x:c r="A306" s="58" t="str">
        <x:f>IF(B306="","",ROW()-1)</x:f>
      </x:c>
      <x:c r="B306" s="89"/>
      <x:c r="C306" s="58"/>
      <x:c r="D306" s="58"/>
      <x:c r="E306" s="58"/>
      <x:c r="F306" s="91"/>
      <x:c r="G306" s="91"/>
      <x:c r="H306" s="91" t="str">
        <x:f>IF($F306="","",IFERROR(VALUE(LEFT($G306,FIND("/",$G306)-1))/100*$F306,$F306/2))</x:f>
      </x:c>
      <x:c r="I306" s="91" t="str">
        <x:f>IF($F306="","",IFERROR(VALUE(MID($G306,FIND("/",$G306)+1,99))/100*$F306,$F306/2))</x:f>
      </x:c>
      <x:c r="J306" s="58"/>
      <x:c r="K306" s="58"/>
    </x:row>
    <x:row r="307">
      <x:c r="A307" s="58" t="str">
        <x:f>IF(B307="","",ROW()-1)</x:f>
      </x:c>
      <x:c r="B307" s="89"/>
      <x:c r="C307" s="58"/>
      <x:c r="D307" s="58"/>
      <x:c r="E307" s="58"/>
      <x:c r="F307" s="91"/>
      <x:c r="G307" s="91"/>
      <x:c r="H307" s="91" t="str">
        <x:f>IF($F307="","",IFERROR(VALUE(LEFT($G307,FIND("/",$G307)-1))/100*$F307,$F307/2))</x:f>
      </x:c>
      <x:c r="I307" s="91" t="str">
        <x:f>IF($F307="","",IFERROR(VALUE(MID($G307,FIND("/",$G307)+1,99))/100*$F307,$F307/2))</x:f>
      </x:c>
      <x:c r="J307" s="58"/>
      <x:c r="K307" s="58"/>
    </x:row>
    <x:row r="308">
      <x:c r="A308" s="58" t="str">
        <x:f>IF(B308="","",ROW()-1)</x:f>
      </x:c>
      <x:c r="B308" s="89"/>
      <x:c r="C308" s="58"/>
      <x:c r="D308" s="58"/>
      <x:c r="E308" s="58"/>
      <x:c r="F308" s="91"/>
      <x:c r="G308" s="91"/>
      <x:c r="H308" s="91" t="str">
        <x:f>IF($F308="","",IFERROR(VALUE(LEFT($G308,FIND("/",$G308)-1))/100*$F308,$F308/2))</x:f>
      </x:c>
      <x:c r="I308" s="91" t="str">
        <x:f>IF($F308="","",IFERROR(VALUE(MID($G308,FIND("/",$G308)+1,99))/100*$F308,$F308/2))</x:f>
      </x:c>
      <x:c r="J308" s="58"/>
      <x:c r="K308" s="58"/>
    </x:row>
    <x:row r="309">
      <x:c r="A309" s="58" t="str">
        <x:f>IF(B309="","",ROW()-1)</x:f>
      </x:c>
      <x:c r="B309" s="89"/>
      <x:c r="C309" s="58"/>
      <x:c r="D309" s="58"/>
      <x:c r="E309" s="58"/>
      <x:c r="F309" s="91"/>
      <x:c r="G309" s="91"/>
      <x:c r="H309" s="91" t="str">
        <x:f>IF($F309="","",IFERROR(VALUE(LEFT($G309,FIND("/",$G309)-1))/100*$F309,$F309/2))</x:f>
      </x:c>
      <x:c r="I309" s="91" t="str">
        <x:f>IF($F309="","",IFERROR(VALUE(MID($G309,FIND("/",$G309)+1,99))/100*$F309,$F309/2))</x:f>
      </x:c>
      <x:c r="J309" s="58"/>
      <x:c r="K309" s="58"/>
    </x:row>
    <x:row r="310">
      <x:c r="A310" s="58" t="str">
        <x:f>IF(B310="","",ROW()-1)</x:f>
      </x:c>
      <x:c r="B310" s="89"/>
      <x:c r="C310" s="58"/>
      <x:c r="D310" s="58"/>
      <x:c r="E310" s="58"/>
      <x:c r="F310" s="91"/>
      <x:c r="G310" s="91"/>
      <x:c r="H310" s="91" t="str">
        <x:f>IF($F310="","",IFERROR(VALUE(LEFT($G310,FIND("/",$G310)-1))/100*$F310,$F310/2))</x:f>
      </x:c>
      <x:c r="I310" s="91" t="str">
        <x:f>IF($F310="","",IFERROR(VALUE(MID($G310,FIND("/",$G310)+1,99))/100*$F310,$F310/2))</x:f>
      </x:c>
      <x:c r="J310" s="58"/>
      <x:c r="K310" s="58"/>
    </x:row>
    <x:row r="311">
      <x:c r="A311" s="58" t="str">
        <x:f>IF(B311="","",ROW()-1)</x:f>
      </x:c>
      <x:c r="B311" s="89"/>
      <x:c r="C311" s="58"/>
      <x:c r="D311" s="58"/>
      <x:c r="E311" s="58"/>
      <x:c r="F311" s="91"/>
      <x:c r="G311" s="91"/>
      <x:c r="H311" s="91" t="str">
        <x:f>IF($F311="","",IFERROR(VALUE(LEFT($G311,FIND("/",$G311)-1))/100*$F311,$F311/2))</x:f>
      </x:c>
      <x:c r="I311" s="91" t="str">
        <x:f>IF($F311="","",IFERROR(VALUE(MID($G311,FIND("/",$G311)+1,99))/100*$F311,$F311/2))</x:f>
      </x:c>
      <x:c r="J311" s="58"/>
      <x:c r="K311" s="58"/>
    </x:row>
    <x:row r="312">
      <x:c r="A312" s="58" t="str">
        <x:f>IF(B312="","",ROW()-1)</x:f>
      </x:c>
      <x:c r="B312" s="89"/>
      <x:c r="C312" s="58"/>
      <x:c r="D312" s="58"/>
      <x:c r="E312" s="58"/>
      <x:c r="F312" s="91"/>
      <x:c r="G312" s="91"/>
      <x:c r="H312" s="91" t="str">
        <x:f>IF($F312="","",IFERROR(VALUE(LEFT($G312,FIND("/",$G312)-1))/100*$F312,$F312/2))</x:f>
      </x:c>
      <x:c r="I312" s="91" t="str">
        <x:f>IF($F312="","",IFERROR(VALUE(MID($G312,FIND("/",$G312)+1,99))/100*$F312,$F312/2))</x:f>
      </x:c>
      <x:c r="J312" s="58"/>
      <x:c r="K312" s="58"/>
    </x:row>
    <x:row r="313">
      <x:c r="A313" s="58" t="str">
        <x:f>IF(B313="","",ROW()-1)</x:f>
      </x:c>
      <x:c r="B313" s="89"/>
      <x:c r="C313" s="58"/>
      <x:c r="D313" s="58"/>
      <x:c r="E313" s="58"/>
      <x:c r="F313" s="91"/>
      <x:c r="G313" s="91"/>
      <x:c r="H313" s="91" t="str">
        <x:f>IF($F313="","",IFERROR(VALUE(LEFT($G313,FIND("/",$G313)-1))/100*$F313,$F313/2))</x:f>
      </x:c>
      <x:c r="I313" s="91" t="str">
        <x:f>IF($F313="","",IFERROR(VALUE(MID($G313,FIND("/",$G313)+1,99))/100*$F313,$F313/2))</x:f>
      </x:c>
      <x:c r="J313" s="58"/>
      <x:c r="K313" s="58"/>
    </x:row>
    <x:row r="314">
      <x:c r="A314" s="58" t="str">
        <x:f>IF(B314="","",ROW()-1)</x:f>
      </x:c>
      <x:c r="B314" s="89"/>
      <x:c r="C314" s="58"/>
      <x:c r="D314" s="58"/>
      <x:c r="E314" s="58"/>
      <x:c r="F314" s="91"/>
      <x:c r="G314" s="91"/>
      <x:c r="H314" s="91" t="str">
        <x:f>IF($F314="","",IFERROR(VALUE(LEFT($G314,FIND("/",$G314)-1))/100*$F314,$F314/2))</x:f>
      </x:c>
      <x:c r="I314" s="91" t="str">
        <x:f>IF($F314="","",IFERROR(VALUE(MID($G314,FIND("/",$G314)+1,99))/100*$F314,$F314/2))</x:f>
      </x:c>
      <x:c r="J314" s="58"/>
      <x:c r="K314" s="58"/>
    </x:row>
    <x:row r="315">
      <x:c r="A315" s="58" t="str">
        <x:f>IF(B315="","",ROW()-1)</x:f>
      </x:c>
      <x:c r="B315" s="89"/>
      <x:c r="C315" s="58"/>
      <x:c r="D315" s="58"/>
      <x:c r="E315" s="58"/>
      <x:c r="F315" s="91"/>
      <x:c r="G315" s="91"/>
      <x:c r="H315" s="91" t="str">
        <x:f>IF($F315="","",IFERROR(VALUE(LEFT($G315,FIND("/",$G315)-1))/100*$F315,$F315/2))</x:f>
      </x:c>
      <x:c r="I315" s="91" t="str">
        <x:f>IF($F315="","",IFERROR(VALUE(MID($G315,FIND("/",$G315)+1,99))/100*$F315,$F315/2))</x:f>
      </x:c>
      <x:c r="J315" s="58"/>
      <x:c r="K315" s="58"/>
    </x:row>
    <x:row r="316">
      <x:c r="A316" s="58" t="str">
        <x:f>IF(B316="","",ROW()-1)</x:f>
      </x:c>
      <x:c r="B316" s="89"/>
      <x:c r="C316" s="58"/>
      <x:c r="D316" s="58"/>
      <x:c r="E316" s="58"/>
      <x:c r="F316" s="91"/>
      <x:c r="G316" s="91"/>
      <x:c r="H316" s="91" t="str">
        <x:f>IF($F316="","",IFERROR(VALUE(LEFT($G316,FIND("/",$G316)-1))/100*$F316,$F316/2))</x:f>
      </x:c>
      <x:c r="I316" s="91" t="str">
        <x:f>IF($F316="","",IFERROR(VALUE(MID($G316,FIND("/",$G316)+1,99))/100*$F316,$F316/2))</x:f>
      </x:c>
      <x:c r="J316" s="58"/>
      <x:c r="K316" s="58"/>
    </x:row>
    <x:row r="317">
      <x:c r="A317" s="58" t="str">
        <x:f>IF(B317="","",ROW()-1)</x:f>
      </x:c>
      <x:c r="B317" s="89"/>
      <x:c r="C317" s="58"/>
      <x:c r="D317" s="58"/>
      <x:c r="E317" s="58"/>
      <x:c r="F317" s="91"/>
      <x:c r="G317" s="91"/>
      <x:c r="H317" s="91" t="str">
        <x:f>IF($F317="","",IFERROR(VALUE(LEFT($G317,FIND("/",$G317)-1))/100*$F317,$F317/2))</x:f>
      </x:c>
      <x:c r="I317" s="91" t="str">
        <x:f>IF($F317="","",IFERROR(VALUE(MID($G317,FIND("/",$G317)+1,99))/100*$F317,$F317/2))</x:f>
      </x:c>
      <x:c r="J317" s="58"/>
      <x:c r="K317" s="58"/>
    </x:row>
    <x:row r="318">
      <x:c r="A318" s="58" t="str">
        <x:f>IF(B318="","",ROW()-1)</x:f>
      </x:c>
      <x:c r="B318" s="89"/>
      <x:c r="C318" s="58"/>
      <x:c r="D318" s="58"/>
      <x:c r="E318" s="58"/>
      <x:c r="F318" s="91"/>
      <x:c r="G318" s="91"/>
      <x:c r="H318" s="91" t="str">
        <x:f>IF($F318="","",IFERROR(VALUE(LEFT($G318,FIND("/",$G318)-1))/100*$F318,$F318/2))</x:f>
      </x:c>
      <x:c r="I318" s="91" t="str">
        <x:f>IF($F318="","",IFERROR(VALUE(MID($G318,FIND("/",$G318)+1,99))/100*$F318,$F318/2))</x:f>
      </x:c>
      <x:c r="J318" s="58"/>
      <x:c r="K318" s="58"/>
    </x:row>
    <x:row r="319">
      <x:c r="A319" s="58" t="str">
        <x:f>IF(B319="","",ROW()-1)</x:f>
      </x:c>
      <x:c r="B319" s="89"/>
      <x:c r="C319" s="58"/>
      <x:c r="D319" s="58"/>
      <x:c r="E319" s="58"/>
      <x:c r="F319" s="91"/>
      <x:c r="G319" s="91"/>
      <x:c r="H319" s="91" t="str">
        <x:f>IF($F319="","",IFERROR(VALUE(LEFT($G319,FIND("/",$G319)-1))/100*$F319,$F319/2))</x:f>
      </x:c>
      <x:c r="I319" s="91" t="str">
        <x:f>IF($F319="","",IFERROR(VALUE(MID($G319,FIND("/",$G319)+1,99))/100*$F319,$F319/2))</x:f>
      </x:c>
      <x:c r="J319" s="58"/>
      <x:c r="K319" s="58"/>
    </x:row>
    <x:row r="320">
      <x:c r="A320" s="58" t="str">
        <x:f>IF(B320="","",ROW()-1)</x:f>
      </x:c>
      <x:c r="B320" s="89"/>
      <x:c r="C320" s="58"/>
      <x:c r="D320" s="58"/>
      <x:c r="E320" s="58"/>
      <x:c r="F320" s="91"/>
      <x:c r="G320" s="91"/>
      <x:c r="H320" s="91" t="str">
        <x:f>IF($F320="","",IFERROR(VALUE(LEFT($G320,FIND("/",$G320)-1))/100*$F320,$F320/2))</x:f>
      </x:c>
      <x:c r="I320" s="91" t="str">
        <x:f>IF($F320="","",IFERROR(VALUE(MID($G320,FIND("/",$G320)+1,99))/100*$F320,$F320/2))</x:f>
      </x:c>
      <x:c r="J320" s="58"/>
      <x:c r="K320" s="58"/>
    </x:row>
    <x:row r="321">
      <x:c r="A321" s="58" t="str">
        <x:f>IF(B321="","",ROW()-1)</x:f>
      </x:c>
      <x:c r="B321" s="89"/>
      <x:c r="C321" s="58"/>
      <x:c r="D321" s="58"/>
      <x:c r="E321" s="58"/>
      <x:c r="F321" s="91"/>
      <x:c r="G321" s="91"/>
      <x:c r="H321" s="91" t="str">
        <x:f>IF($F321="","",IFERROR(VALUE(LEFT($G321,FIND("/",$G321)-1))/100*$F321,$F321/2))</x:f>
      </x:c>
      <x:c r="I321" s="91" t="str">
        <x:f>IF($F321="","",IFERROR(VALUE(MID($G321,FIND("/",$G321)+1,99))/100*$F321,$F321/2))</x:f>
      </x:c>
      <x:c r="J321" s="58"/>
      <x:c r="K321" s="58"/>
    </x:row>
    <x:row r="322">
      <x:c r="A322" s="58" t="str">
        <x:f>IF(B322="","",ROW()-1)</x:f>
      </x:c>
      <x:c r="B322" s="89"/>
      <x:c r="C322" s="58"/>
      <x:c r="D322" s="58"/>
      <x:c r="E322" s="58"/>
      <x:c r="F322" s="91"/>
      <x:c r="G322" s="91"/>
      <x:c r="H322" s="91" t="str">
        <x:f>IF($F322="","",IFERROR(VALUE(LEFT($G322,FIND("/",$G322)-1))/100*$F322,$F322/2))</x:f>
      </x:c>
      <x:c r="I322" s="91" t="str">
        <x:f>IF($F322="","",IFERROR(VALUE(MID($G322,FIND("/",$G322)+1,99))/100*$F322,$F322/2))</x:f>
      </x:c>
      <x:c r="J322" s="58"/>
      <x:c r="K322" s="58"/>
    </x:row>
    <x:row r="323">
      <x:c r="A323" s="58" t="str">
        <x:f>IF(B323="","",ROW()-1)</x:f>
      </x:c>
      <x:c r="B323" s="89"/>
      <x:c r="C323" s="58"/>
      <x:c r="D323" s="58"/>
      <x:c r="E323" s="58"/>
      <x:c r="F323" s="91"/>
      <x:c r="G323" s="91"/>
      <x:c r="H323" s="91" t="str">
        <x:f>IF($F323="","",IFERROR(VALUE(LEFT($G323,FIND("/",$G323)-1))/100*$F323,$F323/2))</x:f>
      </x:c>
      <x:c r="I323" s="91" t="str">
        <x:f>IF($F323="","",IFERROR(VALUE(MID($G323,FIND("/",$G323)+1,99))/100*$F323,$F323/2))</x:f>
      </x:c>
      <x:c r="J323" s="58"/>
      <x:c r="K323" s="58"/>
    </x:row>
    <x:row r="324">
      <x:c r="A324" s="58" t="str">
        <x:f>IF(B324="","",ROW()-1)</x:f>
      </x:c>
      <x:c r="B324" s="89"/>
      <x:c r="C324" s="58"/>
      <x:c r="D324" s="58"/>
      <x:c r="E324" s="58"/>
      <x:c r="F324" s="91"/>
      <x:c r="G324" s="91"/>
      <x:c r="H324" s="91" t="str">
        <x:f>IF($F324="","",IFERROR(VALUE(LEFT($G324,FIND("/",$G324)-1))/100*$F324,$F324/2))</x:f>
      </x:c>
      <x:c r="I324" s="91" t="str">
        <x:f>IF($F324="","",IFERROR(VALUE(MID($G324,FIND("/",$G324)+1,99))/100*$F324,$F324/2))</x:f>
      </x:c>
      <x:c r="J324" s="58"/>
      <x:c r="K324" s="58"/>
    </x:row>
    <x:row r="325">
      <x:c r="A325" s="58" t="str">
        <x:f>IF(B325="","",ROW()-1)</x:f>
      </x:c>
      <x:c r="B325" s="89"/>
      <x:c r="C325" s="58"/>
      <x:c r="D325" s="58"/>
      <x:c r="E325" s="58"/>
      <x:c r="F325" s="91"/>
      <x:c r="G325" s="91"/>
      <x:c r="H325" s="91" t="str">
        <x:f>IF($F325="","",IFERROR(VALUE(LEFT($G325,FIND("/",$G325)-1))/100*$F325,$F325/2))</x:f>
      </x:c>
      <x:c r="I325" s="91" t="str">
        <x:f>IF($F325="","",IFERROR(VALUE(MID($G325,FIND("/",$G325)+1,99))/100*$F325,$F325/2))</x:f>
      </x:c>
      <x:c r="J325" s="58"/>
      <x:c r="K325" s="58"/>
    </x:row>
    <x:row r="326">
      <x:c r="A326" s="58" t="str">
        <x:f>IF(B326="","",ROW()-1)</x:f>
      </x:c>
      <x:c r="B326" s="89"/>
      <x:c r="C326" s="58"/>
      <x:c r="D326" s="58"/>
      <x:c r="E326" s="58"/>
      <x:c r="F326" s="91"/>
      <x:c r="G326" s="91"/>
      <x:c r="H326" s="91" t="str">
        <x:f>IF($F326="","",IFERROR(VALUE(LEFT($G326,FIND("/",$G326)-1))/100*$F326,$F326/2))</x:f>
      </x:c>
      <x:c r="I326" s="91" t="str">
        <x:f>IF($F326="","",IFERROR(VALUE(MID($G326,FIND("/",$G326)+1,99))/100*$F326,$F326/2))</x:f>
      </x:c>
      <x:c r="J326" s="58"/>
      <x:c r="K326" s="58"/>
    </x:row>
    <x:row r="327">
      <x:c r="A327" s="58" t="str">
        <x:f>IF(B327="","",ROW()-1)</x:f>
      </x:c>
      <x:c r="B327" s="89"/>
      <x:c r="C327" s="58"/>
      <x:c r="D327" s="58"/>
      <x:c r="E327" s="58"/>
      <x:c r="F327" s="91"/>
      <x:c r="G327" s="91"/>
      <x:c r="H327" s="91" t="str">
        <x:f>IF($F327="","",IFERROR(VALUE(LEFT($G327,FIND("/",$G327)-1))/100*$F327,$F327/2))</x:f>
      </x:c>
      <x:c r="I327" s="91" t="str">
        <x:f>IF($F327="","",IFERROR(VALUE(MID($G327,FIND("/",$G327)+1,99))/100*$F327,$F327/2))</x:f>
      </x:c>
      <x:c r="J327" s="58"/>
      <x:c r="K327" s="58"/>
    </x:row>
    <x:row r="328">
      <x:c r="A328" s="58" t="str">
        <x:f>IF(B328="","",ROW()-1)</x:f>
      </x:c>
      <x:c r="B328" s="89"/>
      <x:c r="C328" s="58"/>
      <x:c r="D328" s="58"/>
      <x:c r="E328" s="58"/>
      <x:c r="F328" s="91"/>
      <x:c r="G328" s="91"/>
      <x:c r="H328" s="91" t="str">
        <x:f>IF($F328="","",IFERROR(VALUE(LEFT($G328,FIND("/",$G328)-1))/100*$F328,$F328/2))</x:f>
      </x:c>
      <x:c r="I328" s="91" t="str">
        <x:f>IF($F328="","",IFERROR(VALUE(MID($G328,FIND("/",$G328)+1,99))/100*$F328,$F328/2))</x:f>
      </x:c>
      <x:c r="J328" s="58"/>
      <x:c r="K328" s="58"/>
    </x:row>
    <x:row r="329">
      <x:c r="A329" s="58" t="str">
        <x:f>IF(B329="","",ROW()-1)</x:f>
      </x:c>
      <x:c r="B329" s="89"/>
      <x:c r="C329" s="58"/>
      <x:c r="D329" s="58"/>
      <x:c r="E329" s="58"/>
      <x:c r="F329" s="91"/>
      <x:c r="G329" s="91"/>
      <x:c r="H329" s="91" t="str">
        <x:f>IF($F329="","",IFERROR(VALUE(LEFT($G329,FIND("/",$G329)-1))/100*$F329,$F329/2))</x:f>
      </x:c>
      <x:c r="I329" s="91" t="str">
        <x:f>IF($F329="","",IFERROR(VALUE(MID($G329,FIND("/",$G329)+1,99))/100*$F329,$F329/2))</x:f>
      </x:c>
      <x:c r="J329" s="58"/>
      <x:c r="K329" s="58"/>
    </x:row>
    <x:row r="330">
      <x:c r="A330" s="58" t="str">
        <x:f>IF(B330="","",ROW()-1)</x:f>
      </x:c>
      <x:c r="B330" s="89"/>
      <x:c r="C330" s="58"/>
      <x:c r="D330" s="58"/>
      <x:c r="E330" s="58"/>
      <x:c r="F330" s="91"/>
      <x:c r="G330" s="91"/>
      <x:c r="H330" s="91" t="str">
        <x:f>IF($F330="","",IFERROR(VALUE(LEFT($G330,FIND("/",$G330)-1))/100*$F330,$F330/2))</x:f>
      </x:c>
      <x:c r="I330" s="91" t="str">
        <x:f>IF($F330="","",IFERROR(VALUE(MID($G330,FIND("/",$G330)+1,99))/100*$F330,$F330/2))</x:f>
      </x:c>
      <x:c r="J330" s="58"/>
      <x:c r="K330" s="58"/>
    </x:row>
    <x:row r="331">
      <x:c r="A331" s="58" t="str">
        <x:f>IF(B331="","",ROW()-1)</x:f>
      </x:c>
      <x:c r="B331" s="89"/>
      <x:c r="C331" s="58"/>
      <x:c r="D331" s="58"/>
      <x:c r="E331" s="58"/>
      <x:c r="F331" s="91"/>
      <x:c r="G331" s="91"/>
      <x:c r="H331" s="91" t="str">
        <x:f>IF($F331="","",IFERROR(VALUE(LEFT($G331,FIND("/",$G331)-1))/100*$F331,$F331/2))</x:f>
      </x:c>
      <x:c r="I331" s="91" t="str">
        <x:f>IF($F331="","",IFERROR(VALUE(MID($G331,FIND("/",$G331)+1,99))/100*$F331,$F331/2))</x:f>
      </x:c>
      <x:c r="J331" s="58"/>
      <x:c r="K331" s="58"/>
    </x:row>
    <x:row r="332">
      <x:c r="A332" s="58" t="str">
        <x:f>IF(B332="","",ROW()-1)</x:f>
      </x:c>
      <x:c r="B332" s="89"/>
      <x:c r="C332" s="58"/>
      <x:c r="D332" s="58"/>
      <x:c r="E332" s="58"/>
      <x:c r="F332" s="91"/>
      <x:c r="G332" s="91"/>
      <x:c r="H332" s="91" t="str">
        <x:f>IF($F332="","",IFERROR(VALUE(LEFT($G332,FIND("/",$G332)-1))/100*$F332,$F332/2))</x:f>
      </x:c>
      <x:c r="I332" s="91" t="str">
        <x:f>IF($F332="","",IFERROR(VALUE(MID($G332,FIND("/",$G332)+1,99))/100*$F332,$F332/2))</x:f>
      </x:c>
      <x:c r="J332" s="58"/>
      <x:c r="K332" s="58"/>
    </x:row>
    <x:row r="333">
      <x:c r="A333" s="58" t="str">
        <x:f>IF(B333="","",ROW()-1)</x:f>
      </x:c>
      <x:c r="B333" s="89"/>
      <x:c r="C333" s="58"/>
      <x:c r="D333" s="58"/>
      <x:c r="E333" s="58"/>
      <x:c r="F333" s="91"/>
      <x:c r="G333" s="91"/>
      <x:c r="H333" s="91" t="str">
        <x:f>IF($F333="","",IFERROR(VALUE(LEFT($G333,FIND("/",$G333)-1))/100*$F333,$F333/2))</x:f>
      </x:c>
      <x:c r="I333" s="91" t="str">
        <x:f>IF($F333="","",IFERROR(VALUE(MID($G333,FIND("/",$G333)+1,99))/100*$F333,$F333/2))</x:f>
      </x:c>
      <x:c r="J333" s="58"/>
      <x:c r="K333" s="58"/>
    </x:row>
    <x:row r="334">
      <x:c r="A334" s="58" t="str">
        <x:f>IF(B334="","",ROW()-1)</x:f>
      </x:c>
      <x:c r="B334" s="89"/>
      <x:c r="C334" s="58"/>
      <x:c r="D334" s="58"/>
      <x:c r="E334" s="58"/>
      <x:c r="F334" s="91"/>
      <x:c r="G334" s="91"/>
      <x:c r="H334" s="91" t="str">
        <x:f>IF($F334="","",IFERROR(VALUE(LEFT($G334,FIND("/",$G334)-1))/100*$F334,$F334/2))</x:f>
      </x:c>
      <x:c r="I334" s="91" t="str">
        <x:f>IF($F334="","",IFERROR(VALUE(MID($G334,FIND("/",$G334)+1,99))/100*$F334,$F334/2))</x:f>
      </x:c>
      <x:c r="J334" s="58"/>
      <x:c r="K334" s="58"/>
    </x:row>
    <x:row r="335">
      <x:c r="A335" s="58" t="str">
        <x:f>IF(B335="","",ROW()-1)</x:f>
      </x:c>
      <x:c r="B335" s="89"/>
      <x:c r="C335" s="58"/>
      <x:c r="D335" s="58"/>
      <x:c r="E335" s="58"/>
      <x:c r="F335" s="91"/>
      <x:c r="G335" s="91"/>
      <x:c r="H335" s="91" t="str">
        <x:f>IF($F335="","",IFERROR(VALUE(LEFT($G335,FIND("/",$G335)-1))/100*$F335,$F335/2))</x:f>
      </x:c>
      <x:c r="I335" s="91" t="str">
        <x:f>IF($F335="","",IFERROR(VALUE(MID($G335,FIND("/",$G335)+1,99))/100*$F335,$F335/2))</x:f>
      </x:c>
      <x:c r="J335" s="58"/>
      <x:c r="K335" s="58"/>
    </x:row>
    <x:row r="336">
      <x:c r="A336" s="58" t="str">
        <x:f>IF(B336="","",ROW()-1)</x:f>
      </x:c>
      <x:c r="B336" s="89"/>
      <x:c r="C336" s="58"/>
      <x:c r="D336" s="58"/>
      <x:c r="E336" s="58"/>
      <x:c r="F336" s="91"/>
      <x:c r="G336" s="91"/>
      <x:c r="H336" s="91" t="str">
        <x:f>IF($F336="","",IFERROR(VALUE(LEFT($G336,FIND("/",$G336)-1))/100*$F336,$F336/2))</x:f>
      </x:c>
      <x:c r="I336" s="91" t="str">
        <x:f>IF($F336="","",IFERROR(VALUE(MID($G336,FIND("/",$G336)+1,99))/100*$F336,$F336/2))</x:f>
      </x:c>
      <x:c r="J336" s="58"/>
      <x:c r="K336" s="58"/>
    </x:row>
    <x:row r="337">
      <x:c r="A337" s="58" t="str">
        <x:f>IF(B337="","",ROW()-1)</x:f>
      </x:c>
      <x:c r="B337" s="89"/>
      <x:c r="C337" s="58"/>
      <x:c r="D337" s="58"/>
      <x:c r="E337" s="58"/>
      <x:c r="F337" s="91"/>
      <x:c r="G337" s="91"/>
      <x:c r="H337" s="91" t="str">
        <x:f>IF($F337="","",IFERROR(VALUE(LEFT($G337,FIND("/",$G337)-1))/100*$F337,$F337/2))</x:f>
      </x:c>
      <x:c r="I337" s="91" t="str">
        <x:f>IF($F337="","",IFERROR(VALUE(MID($G337,FIND("/",$G337)+1,99))/100*$F337,$F337/2))</x:f>
      </x:c>
      <x:c r="J337" s="58"/>
      <x:c r="K337" s="58"/>
    </x:row>
    <x:row r="338">
      <x:c r="A338" s="58" t="str">
        <x:f>IF(B338="","",ROW()-1)</x:f>
      </x:c>
      <x:c r="B338" s="89"/>
      <x:c r="C338" s="58"/>
      <x:c r="D338" s="58"/>
      <x:c r="E338" s="58"/>
      <x:c r="F338" s="91"/>
      <x:c r="G338" s="91"/>
      <x:c r="H338" s="91" t="str">
        <x:f>IF($F338="","",IFERROR(VALUE(LEFT($G338,FIND("/",$G338)-1))/100*$F338,$F338/2))</x:f>
      </x:c>
      <x:c r="I338" s="91" t="str">
        <x:f>IF($F338="","",IFERROR(VALUE(MID($G338,FIND("/",$G338)+1,99))/100*$F338,$F338/2))</x:f>
      </x:c>
      <x:c r="J338" s="58"/>
      <x:c r="K338" s="58"/>
    </x:row>
    <x:row r="339">
      <x:c r="A339" s="58" t="str">
        <x:f>IF(B339="","",ROW()-1)</x:f>
      </x:c>
      <x:c r="B339" s="89"/>
      <x:c r="C339" s="58"/>
      <x:c r="D339" s="58"/>
      <x:c r="E339" s="58"/>
      <x:c r="F339" s="91"/>
      <x:c r="G339" s="91"/>
      <x:c r="H339" s="91" t="str">
        <x:f>IF($F339="","",IFERROR(VALUE(LEFT($G339,FIND("/",$G339)-1))/100*$F339,$F339/2))</x:f>
      </x:c>
      <x:c r="I339" s="91" t="str">
        <x:f>IF($F339="","",IFERROR(VALUE(MID($G339,FIND("/",$G339)+1,99))/100*$F339,$F339/2))</x:f>
      </x:c>
      <x:c r="J339" s="58"/>
      <x:c r="K339" s="58"/>
    </x:row>
    <x:row r="340">
      <x:c r="A340" s="58" t="str">
        <x:f>IF(B340="","",ROW()-1)</x:f>
      </x:c>
      <x:c r="B340" s="89"/>
      <x:c r="C340" s="58"/>
      <x:c r="D340" s="58"/>
      <x:c r="E340" s="58"/>
      <x:c r="F340" s="91"/>
      <x:c r="G340" s="91"/>
      <x:c r="H340" s="91" t="str">
        <x:f>IF($F340="","",IFERROR(VALUE(LEFT($G340,FIND("/",$G340)-1))/100*$F340,$F340/2))</x:f>
      </x:c>
      <x:c r="I340" s="91" t="str">
        <x:f>IF($F340="","",IFERROR(VALUE(MID($G340,FIND("/",$G340)+1,99))/100*$F340,$F340/2))</x:f>
      </x:c>
      <x:c r="J340" s="58"/>
      <x:c r="K340" s="58"/>
    </x:row>
    <x:row r="341">
      <x:c r="A341" s="58" t="str">
        <x:f>IF(B341="","",ROW()-1)</x:f>
      </x:c>
      <x:c r="B341" s="89"/>
      <x:c r="C341" s="58"/>
      <x:c r="D341" s="58"/>
      <x:c r="E341" s="58"/>
      <x:c r="F341" s="91"/>
      <x:c r="G341" s="91"/>
      <x:c r="H341" s="91" t="str">
        <x:f>IF($F341="","",IFERROR(VALUE(LEFT($G341,FIND("/",$G341)-1))/100*$F341,$F341/2))</x:f>
      </x:c>
      <x:c r="I341" s="91" t="str">
        <x:f>IF($F341="","",IFERROR(VALUE(MID($G341,FIND("/",$G341)+1,99))/100*$F341,$F341/2))</x:f>
      </x:c>
      <x:c r="J341" s="58"/>
      <x:c r="K341" s="58"/>
    </x:row>
    <x:row r="342">
      <x:c r="A342" s="58" t="str">
        <x:f>IF(B342="","",ROW()-1)</x:f>
      </x:c>
      <x:c r="B342" s="89"/>
      <x:c r="C342" s="58"/>
      <x:c r="D342" s="58"/>
      <x:c r="E342" s="58"/>
      <x:c r="F342" s="91"/>
      <x:c r="G342" s="91"/>
      <x:c r="H342" s="91" t="str">
        <x:f>IF($F342="","",IFERROR(VALUE(LEFT($G342,FIND("/",$G342)-1))/100*$F342,$F342/2))</x:f>
      </x:c>
      <x:c r="I342" s="91" t="str">
        <x:f>IF($F342="","",IFERROR(VALUE(MID($G342,FIND("/",$G342)+1,99))/100*$F342,$F342/2))</x:f>
      </x:c>
      <x:c r="J342" s="58"/>
      <x:c r="K342" s="58"/>
    </x:row>
    <x:row r="343">
      <x:c r="A343" s="58" t="str">
        <x:f>IF(B343="","",ROW()-1)</x:f>
      </x:c>
      <x:c r="B343" s="89"/>
      <x:c r="C343" s="58"/>
      <x:c r="D343" s="58"/>
      <x:c r="E343" s="58"/>
      <x:c r="F343" s="91"/>
      <x:c r="G343" s="91"/>
      <x:c r="H343" s="91" t="str">
        <x:f>IF($F343="","",IFERROR(VALUE(LEFT($G343,FIND("/",$G343)-1))/100*$F343,$F343/2))</x:f>
      </x:c>
      <x:c r="I343" s="91" t="str">
        <x:f>IF($F343="","",IFERROR(VALUE(MID($G343,FIND("/",$G343)+1,99))/100*$F343,$F343/2))</x:f>
      </x:c>
      <x:c r="J343" s="58"/>
      <x:c r="K343" s="58"/>
    </x:row>
    <x:row r="344">
      <x:c r="A344" s="58" t="str">
        <x:f>IF(B344="","",ROW()-1)</x:f>
      </x:c>
      <x:c r="B344" s="89"/>
      <x:c r="C344" s="58"/>
      <x:c r="D344" s="58"/>
      <x:c r="E344" s="58"/>
      <x:c r="F344" s="91"/>
      <x:c r="G344" s="91"/>
      <x:c r="H344" s="91" t="str">
        <x:f>IF($F344="","",IFERROR(VALUE(LEFT($G344,FIND("/",$G344)-1))/100*$F344,$F344/2))</x:f>
      </x:c>
      <x:c r="I344" s="91" t="str">
        <x:f>IF($F344="","",IFERROR(VALUE(MID($G344,FIND("/",$G344)+1,99))/100*$F344,$F344/2))</x:f>
      </x:c>
      <x:c r="J344" s="58"/>
      <x:c r="K344" s="58"/>
    </x:row>
    <x:row r="345">
      <x:c r="A345" s="58" t="str">
        <x:f>IF(B345="","",ROW()-1)</x:f>
      </x:c>
      <x:c r="B345" s="89"/>
      <x:c r="C345" s="58"/>
      <x:c r="D345" s="58"/>
      <x:c r="E345" s="58"/>
      <x:c r="F345" s="91"/>
      <x:c r="G345" s="91"/>
      <x:c r="H345" s="91" t="str">
        <x:f>IF($F345="","",IFERROR(VALUE(LEFT($G345,FIND("/",$G345)-1))/100*$F345,$F345/2))</x:f>
      </x:c>
      <x:c r="I345" s="91" t="str">
        <x:f>IF($F345="","",IFERROR(VALUE(MID($G345,FIND("/",$G345)+1,99))/100*$F345,$F345/2))</x:f>
      </x:c>
      <x:c r="J345" s="58"/>
      <x:c r="K345" s="58"/>
    </x:row>
    <x:row r="346">
      <x:c r="A346" s="58" t="str">
        <x:f>IF(B346="","",ROW()-1)</x:f>
      </x:c>
      <x:c r="B346" s="89"/>
      <x:c r="C346" s="58"/>
      <x:c r="D346" s="58"/>
      <x:c r="E346" s="58"/>
      <x:c r="F346" s="91"/>
      <x:c r="G346" s="91"/>
      <x:c r="H346" s="91" t="str">
        <x:f>IF($F346="","",IFERROR(VALUE(LEFT($G346,FIND("/",$G346)-1))/100*$F346,$F346/2))</x:f>
      </x:c>
      <x:c r="I346" s="91" t="str">
        <x:f>IF($F346="","",IFERROR(VALUE(MID($G346,FIND("/",$G346)+1,99))/100*$F346,$F346/2))</x:f>
      </x:c>
      <x:c r="J346" s="58"/>
      <x:c r="K346" s="58"/>
    </x:row>
    <x:row r="347">
      <x:c r="A347" s="58" t="str">
        <x:f>IF(B347="","",ROW()-1)</x:f>
      </x:c>
      <x:c r="B347" s="89"/>
      <x:c r="C347" s="58"/>
      <x:c r="D347" s="58"/>
      <x:c r="E347" s="58"/>
      <x:c r="F347" s="91"/>
      <x:c r="G347" s="91"/>
      <x:c r="H347" s="91" t="str">
        <x:f>IF($F347="","",IFERROR(VALUE(LEFT($G347,FIND("/",$G347)-1))/100*$F347,$F347/2))</x:f>
      </x:c>
      <x:c r="I347" s="91" t="str">
        <x:f>IF($F347="","",IFERROR(VALUE(MID($G347,FIND("/",$G347)+1,99))/100*$F347,$F347/2))</x:f>
      </x:c>
      <x:c r="J347" s="58"/>
      <x:c r="K347" s="58"/>
    </x:row>
    <x:row r="348">
      <x:c r="A348" s="58" t="str">
        <x:f>IF(B348="","",ROW()-1)</x:f>
      </x:c>
      <x:c r="B348" s="89"/>
      <x:c r="C348" s="58"/>
      <x:c r="D348" s="58"/>
      <x:c r="E348" s="58"/>
      <x:c r="F348" s="91"/>
      <x:c r="G348" s="91"/>
      <x:c r="H348" s="91" t="str">
        <x:f>IF($F348="","",IFERROR(VALUE(LEFT($G348,FIND("/",$G348)-1))/100*$F348,$F348/2))</x:f>
      </x:c>
      <x:c r="I348" s="91" t="str">
        <x:f>IF($F348="","",IFERROR(VALUE(MID($G348,FIND("/",$G348)+1,99))/100*$F348,$F348/2))</x:f>
      </x:c>
      <x:c r="J348" s="58"/>
      <x:c r="K348" s="58"/>
    </x:row>
    <x:row r="349">
      <x:c r="A349" s="58" t="str">
        <x:f>IF(B349="","",ROW()-1)</x:f>
      </x:c>
      <x:c r="B349" s="89"/>
      <x:c r="C349" s="58"/>
      <x:c r="D349" s="58"/>
      <x:c r="E349" s="58"/>
      <x:c r="F349" s="91"/>
      <x:c r="G349" s="91"/>
      <x:c r="H349" s="91" t="str">
        <x:f>IF($F349="","",IFERROR(VALUE(LEFT($G349,FIND("/",$G349)-1))/100*$F349,$F349/2))</x:f>
      </x:c>
      <x:c r="I349" s="91" t="str">
        <x:f>IF($F349="","",IFERROR(VALUE(MID($G349,FIND("/",$G349)+1,99))/100*$F349,$F349/2))</x:f>
      </x:c>
      <x:c r="J349" s="58"/>
      <x:c r="K349" s="58"/>
    </x:row>
    <x:row r="350">
      <x:c r="A350" s="58" t="str">
        <x:f>IF(B350="","",ROW()-1)</x:f>
      </x:c>
      <x:c r="B350" s="89"/>
      <x:c r="C350" s="58"/>
      <x:c r="D350" s="58"/>
      <x:c r="E350" s="58"/>
      <x:c r="F350" s="91"/>
      <x:c r="G350" s="91"/>
      <x:c r="H350" s="91" t="str">
        <x:f>IF($F350="","",IFERROR(VALUE(LEFT($G350,FIND("/",$G350)-1))/100*$F350,$F350/2))</x:f>
      </x:c>
      <x:c r="I350" s="91" t="str">
        <x:f>IF($F350="","",IFERROR(VALUE(MID($G350,FIND("/",$G350)+1,99))/100*$F350,$F350/2))</x:f>
      </x:c>
      <x:c r="J350" s="58"/>
      <x:c r="K350" s="58"/>
    </x:row>
    <x:row r="351">
      <x:c r="A351" s="58" t="str">
        <x:f>IF(B351="","",ROW()-1)</x:f>
      </x:c>
      <x:c r="B351" s="89"/>
      <x:c r="C351" s="58"/>
      <x:c r="D351" s="58"/>
      <x:c r="E351" s="58"/>
      <x:c r="F351" s="91"/>
      <x:c r="G351" s="91"/>
      <x:c r="H351" s="91" t="str">
        <x:f>IF($F351="","",IFERROR(VALUE(LEFT($G351,FIND("/",$G351)-1))/100*$F351,$F351/2))</x:f>
      </x:c>
      <x:c r="I351" s="91" t="str">
        <x:f>IF($F351="","",IFERROR(VALUE(MID($G351,FIND("/",$G351)+1,99))/100*$F351,$F351/2))</x:f>
      </x:c>
      <x:c r="J351" s="58"/>
      <x:c r="K351" s="58"/>
    </x:row>
    <x:row r="352">
      <x:c r="A352" s="58" t="str">
        <x:f>IF(B352="","",ROW()-1)</x:f>
      </x:c>
      <x:c r="B352" s="89"/>
      <x:c r="C352" s="58"/>
      <x:c r="D352" s="58"/>
      <x:c r="E352" s="58"/>
      <x:c r="F352" s="91"/>
      <x:c r="G352" s="91"/>
      <x:c r="H352" s="91" t="str">
        <x:f>IF($F352="","",IFERROR(VALUE(LEFT($G352,FIND("/",$G352)-1))/100*$F352,$F352/2))</x:f>
      </x:c>
      <x:c r="I352" s="91" t="str">
        <x:f>IF($F352="","",IFERROR(VALUE(MID($G352,FIND("/",$G352)+1,99))/100*$F352,$F352/2))</x:f>
      </x:c>
      <x:c r="J352" s="58"/>
      <x:c r="K352" s="58"/>
    </x:row>
    <x:row r="353">
      <x:c r="A353" s="58" t="str">
        <x:f>IF(B353="","",ROW()-1)</x:f>
      </x:c>
      <x:c r="B353" s="89"/>
      <x:c r="C353" s="58"/>
      <x:c r="D353" s="58"/>
      <x:c r="E353" s="58"/>
      <x:c r="F353" s="91"/>
      <x:c r="G353" s="91"/>
      <x:c r="H353" s="91" t="str">
        <x:f>IF($F353="","",IFERROR(VALUE(LEFT($G353,FIND("/",$G353)-1))/100*$F353,$F353/2))</x:f>
      </x:c>
      <x:c r="I353" s="91" t="str">
        <x:f>IF($F353="","",IFERROR(VALUE(MID($G353,FIND("/",$G353)+1,99))/100*$F353,$F353/2))</x:f>
      </x:c>
      <x:c r="J353" s="58"/>
      <x:c r="K353" s="58"/>
    </x:row>
    <x:row r="354">
      <x:c r="A354" s="58" t="str">
        <x:f>IF(B354="","",ROW()-1)</x:f>
      </x:c>
      <x:c r="B354" s="89"/>
      <x:c r="C354" s="58"/>
      <x:c r="D354" s="58"/>
      <x:c r="E354" s="58"/>
      <x:c r="F354" s="91"/>
      <x:c r="G354" s="91"/>
      <x:c r="H354" s="91" t="str">
        <x:f>IF($F354="","",IFERROR(VALUE(LEFT($G354,FIND("/",$G354)-1))/100*$F354,$F354/2))</x:f>
      </x:c>
      <x:c r="I354" s="91" t="str">
        <x:f>IF($F354="","",IFERROR(VALUE(MID($G354,FIND("/",$G354)+1,99))/100*$F354,$F354/2))</x:f>
      </x:c>
      <x:c r="J354" s="58"/>
      <x:c r="K354" s="58"/>
    </x:row>
    <x:row r="355">
      <x:c r="A355" s="58" t="str">
        <x:f>IF(B355="","",ROW()-1)</x:f>
      </x:c>
      <x:c r="B355" s="89"/>
      <x:c r="C355" s="58"/>
      <x:c r="D355" s="58"/>
      <x:c r="E355" s="58"/>
      <x:c r="F355" s="91"/>
      <x:c r="G355" s="91"/>
      <x:c r="H355" s="91" t="str">
        <x:f>IF($F355="","",IFERROR(VALUE(LEFT($G355,FIND("/",$G355)-1))/100*$F355,$F355/2))</x:f>
      </x:c>
      <x:c r="I355" s="91" t="str">
        <x:f>IF($F355="","",IFERROR(VALUE(MID($G355,FIND("/",$G355)+1,99))/100*$F355,$F355/2))</x:f>
      </x:c>
      <x:c r="J355" s="58"/>
      <x:c r="K355" s="58"/>
    </x:row>
    <x:row r="356">
      <x:c r="A356" s="58" t="str">
        <x:f>IF(B356="","",ROW()-1)</x:f>
      </x:c>
      <x:c r="B356" s="89"/>
      <x:c r="C356" s="58"/>
      <x:c r="D356" s="58"/>
      <x:c r="E356" s="58"/>
      <x:c r="F356" s="91"/>
      <x:c r="G356" s="91"/>
      <x:c r="H356" s="91" t="str">
        <x:f>IF($F356="","",IFERROR(VALUE(LEFT($G356,FIND("/",$G356)-1))/100*$F356,$F356/2))</x:f>
      </x:c>
      <x:c r="I356" s="91" t="str">
        <x:f>IF($F356="","",IFERROR(VALUE(MID($G356,FIND("/",$G356)+1,99))/100*$F356,$F356/2))</x:f>
      </x:c>
      <x:c r="J356" s="58"/>
      <x:c r="K356" s="58"/>
    </x:row>
    <x:row r="357">
      <x:c r="A357" s="58" t="str">
        <x:f>IF(B357="","",ROW()-1)</x:f>
      </x:c>
      <x:c r="B357" s="89"/>
      <x:c r="C357" s="58"/>
      <x:c r="D357" s="58"/>
      <x:c r="E357" s="58"/>
      <x:c r="F357" s="91"/>
      <x:c r="G357" s="91"/>
      <x:c r="H357" s="91" t="str">
        <x:f>IF($F357="","",IFERROR(VALUE(LEFT($G357,FIND("/",$G357)-1))/100*$F357,$F357/2))</x:f>
      </x:c>
      <x:c r="I357" s="91" t="str">
        <x:f>IF($F357="","",IFERROR(VALUE(MID($G357,FIND("/",$G357)+1,99))/100*$F357,$F357/2))</x:f>
      </x:c>
      <x:c r="J357" s="58"/>
      <x:c r="K357" s="58"/>
    </x:row>
    <x:row r="358">
      <x:c r="A358" s="58" t="str">
        <x:f>IF(B358="","",ROW()-1)</x:f>
      </x:c>
      <x:c r="B358" s="89"/>
      <x:c r="C358" s="58"/>
      <x:c r="D358" s="58"/>
      <x:c r="E358" s="58"/>
      <x:c r="F358" s="91"/>
      <x:c r="G358" s="91"/>
      <x:c r="H358" s="91" t="str">
        <x:f>IF($F358="","",IFERROR(VALUE(LEFT($G358,FIND("/",$G358)-1))/100*$F358,$F358/2))</x:f>
      </x:c>
      <x:c r="I358" s="91" t="str">
        <x:f>IF($F358="","",IFERROR(VALUE(MID($G358,FIND("/",$G358)+1,99))/100*$F358,$F358/2))</x:f>
      </x:c>
      <x:c r="J358" s="58"/>
      <x:c r="K358" s="58"/>
    </x:row>
    <x:row r="359">
      <x:c r="A359" s="58" t="str">
        <x:f>IF(B359="","",ROW()-1)</x:f>
      </x:c>
      <x:c r="B359" s="89"/>
      <x:c r="C359" s="58"/>
      <x:c r="D359" s="58"/>
      <x:c r="E359" s="58"/>
      <x:c r="F359" s="91"/>
      <x:c r="G359" s="91"/>
      <x:c r="H359" s="91" t="str">
        <x:f>IF($F359="","",IFERROR(VALUE(LEFT($G359,FIND("/",$G359)-1))/100*$F359,$F359/2))</x:f>
      </x:c>
      <x:c r="I359" s="91" t="str">
        <x:f>IF($F359="","",IFERROR(VALUE(MID($G359,FIND("/",$G359)+1,99))/100*$F359,$F359/2))</x:f>
      </x:c>
      <x:c r="J359" s="58"/>
      <x:c r="K359" s="58"/>
    </x:row>
    <x:row r="360">
      <x:c r="A360" s="58" t="str">
        <x:f>IF(B360="","",ROW()-1)</x:f>
      </x:c>
      <x:c r="B360" s="89"/>
      <x:c r="C360" s="58"/>
      <x:c r="D360" s="58"/>
      <x:c r="E360" s="58"/>
      <x:c r="F360" s="91"/>
      <x:c r="G360" s="91"/>
      <x:c r="H360" s="91" t="str">
        <x:f>IF($F360="","",IFERROR(VALUE(LEFT($G360,FIND("/",$G360)-1))/100*$F360,$F360/2))</x:f>
      </x:c>
      <x:c r="I360" s="91" t="str">
        <x:f>IF($F360="","",IFERROR(VALUE(MID($G360,FIND("/",$G360)+1,99))/100*$F360,$F360/2))</x:f>
      </x:c>
      <x:c r="J360" s="58"/>
      <x:c r="K360" s="58"/>
    </x:row>
    <x:row r="361">
      <x:c r="A361" s="58" t="str">
        <x:f>IF(B361="","",ROW()-1)</x:f>
      </x:c>
      <x:c r="B361" s="89"/>
      <x:c r="C361" s="58"/>
      <x:c r="D361" s="58"/>
      <x:c r="E361" s="58"/>
      <x:c r="F361" s="91"/>
      <x:c r="G361" s="91"/>
      <x:c r="H361" s="91" t="str">
        <x:f>IF($F361="","",IFERROR(VALUE(LEFT($G361,FIND("/",$G361)-1))/100*$F361,$F361/2))</x:f>
      </x:c>
      <x:c r="I361" s="91" t="str">
        <x:f>IF($F361="","",IFERROR(VALUE(MID($G361,FIND("/",$G361)+1,99))/100*$F361,$F361/2))</x:f>
      </x:c>
      <x:c r="J361" s="58"/>
      <x:c r="K361" s="58"/>
    </x:row>
    <x:row r="362">
      <x:c r="A362" s="58" t="str">
        <x:f>IF(B362="","",ROW()-1)</x:f>
      </x:c>
      <x:c r="B362" s="89"/>
      <x:c r="C362" s="58"/>
      <x:c r="D362" s="58"/>
      <x:c r="E362" s="58"/>
      <x:c r="F362" s="91"/>
      <x:c r="G362" s="91"/>
      <x:c r="H362" s="91" t="str">
        <x:f>IF($F362="","",IFERROR(VALUE(LEFT($G362,FIND("/",$G362)-1))/100*$F362,$F362/2))</x:f>
      </x:c>
      <x:c r="I362" s="91" t="str">
        <x:f>IF($F362="","",IFERROR(VALUE(MID($G362,FIND("/",$G362)+1,99))/100*$F362,$F362/2))</x:f>
      </x:c>
      <x:c r="J362" s="58"/>
      <x:c r="K362" s="58"/>
    </x:row>
    <x:row r="363">
      <x:c r="A363" s="58" t="str">
        <x:f>IF(B363="","",ROW()-1)</x:f>
      </x:c>
      <x:c r="B363" s="89"/>
      <x:c r="C363" s="58"/>
      <x:c r="D363" s="58"/>
      <x:c r="E363" s="58"/>
      <x:c r="F363" s="91"/>
      <x:c r="G363" s="91"/>
      <x:c r="H363" s="91" t="str">
        <x:f>IF($F363="","",IFERROR(VALUE(LEFT($G363,FIND("/",$G363)-1))/100*$F363,$F363/2))</x:f>
      </x:c>
      <x:c r="I363" s="91" t="str">
        <x:f>IF($F363="","",IFERROR(VALUE(MID($G363,FIND("/",$G363)+1,99))/100*$F363,$F363/2))</x:f>
      </x:c>
      <x:c r="J363" s="58"/>
      <x:c r="K363" s="58"/>
    </x:row>
    <x:row r="364">
      <x:c r="A364" s="58" t="str">
        <x:f>IF(B364="","",ROW()-1)</x:f>
      </x:c>
      <x:c r="B364" s="89"/>
      <x:c r="C364" s="58"/>
      <x:c r="D364" s="58"/>
      <x:c r="E364" s="58"/>
      <x:c r="F364" s="91"/>
      <x:c r="G364" s="91"/>
      <x:c r="H364" s="91" t="str">
        <x:f>IF($F364="","",IFERROR(VALUE(LEFT($G364,FIND("/",$G364)-1))/100*$F364,$F364/2))</x:f>
      </x:c>
      <x:c r="I364" s="91" t="str">
        <x:f>IF($F364="","",IFERROR(VALUE(MID($G364,FIND("/",$G364)+1,99))/100*$F364,$F364/2))</x:f>
      </x:c>
      <x:c r="J364" s="58"/>
      <x:c r="K364" s="58"/>
    </x:row>
    <x:row r="365">
      <x:c r="A365" s="58" t="str">
        <x:f>IF(B365="","",ROW()-1)</x:f>
      </x:c>
      <x:c r="B365" s="89"/>
      <x:c r="C365" s="58"/>
      <x:c r="D365" s="58"/>
      <x:c r="E365" s="58"/>
      <x:c r="F365" s="91"/>
      <x:c r="G365" s="91"/>
      <x:c r="H365" s="91" t="str">
        <x:f>IF($F365="","",IFERROR(VALUE(LEFT($G365,FIND("/",$G365)-1))/100*$F365,$F365/2))</x:f>
      </x:c>
      <x:c r="I365" s="91" t="str">
        <x:f>IF($F365="","",IFERROR(VALUE(MID($G365,FIND("/",$G365)+1,99))/100*$F365,$F365/2))</x:f>
      </x:c>
      <x:c r="J365" s="58"/>
      <x:c r="K365" s="58"/>
    </x:row>
    <x:row r="366">
      <x:c r="A366" s="58" t="str">
        <x:f>IF(B366="","",ROW()-1)</x:f>
      </x:c>
      <x:c r="B366" s="89"/>
      <x:c r="C366" s="58"/>
      <x:c r="D366" s="58"/>
      <x:c r="E366" s="58"/>
      <x:c r="F366" s="91"/>
      <x:c r="G366" s="91"/>
      <x:c r="H366" s="91" t="str">
        <x:f>IF($F366="","",IFERROR(VALUE(LEFT($G366,FIND("/",$G366)-1))/100*$F366,$F366/2))</x:f>
      </x:c>
      <x:c r="I366" s="91" t="str">
        <x:f>IF($F366="","",IFERROR(VALUE(MID($G366,FIND("/",$G366)+1,99))/100*$F366,$F366/2))</x:f>
      </x:c>
      <x:c r="J366" s="58"/>
      <x:c r="K366" s="58"/>
    </x:row>
    <x:row r="367">
      <x:c r="A367" s="58" t="str">
        <x:f>IF(B367="","",ROW()-1)</x:f>
      </x:c>
      <x:c r="B367" s="89"/>
      <x:c r="C367" s="58"/>
      <x:c r="D367" s="58"/>
      <x:c r="E367" s="58"/>
      <x:c r="F367" s="91"/>
      <x:c r="G367" s="91"/>
      <x:c r="H367" s="91" t="str">
        <x:f>IF($F367="","",IFERROR(VALUE(LEFT($G367,FIND("/",$G367)-1))/100*$F367,$F367/2))</x:f>
      </x:c>
      <x:c r="I367" s="91" t="str">
        <x:f>IF($F367="","",IFERROR(VALUE(MID($G367,FIND("/",$G367)+1,99))/100*$F367,$F367/2))</x:f>
      </x:c>
      <x:c r="J367" s="58"/>
      <x:c r="K367" s="58"/>
    </x:row>
    <x:row r="368">
      <x:c r="A368" s="58" t="str">
        <x:f>IF(B368="","",ROW()-1)</x:f>
      </x:c>
      <x:c r="B368" s="89"/>
      <x:c r="C368" s="58"/>
      <x:c r="D368" s="58"/>
      <x:c r="E368" s="58"/>
      <x:c r="F368" s="91"/>
      <x:c r="G368" s="91"/>
      <x:c r="H368" s="91" t="str">
        <x:f>IF($F368="","",IFERROR(VALUE(LEFT($G368,FIND("/",$G368)-1))/100*$F368,$F368/2))</x:f>
      </x:c>
      <x:c r="I368" s="91" t="str">
        <x:f>IF($F368="","",IFERROR(VALUE(MID($G368,FIND("/",$G368)+1,99))/100*$F368,$F368/2))</x:f>
      </x:c>
      <x:c r="J368" s="58"/>
      <x:c r="K368" s="58"/>
    </x:row>
    <x:row r="369">
      <x:c r="A369" s="58" t="str">
        <x:f>IF(B369="","",ROW()-1)</x:f>
      </x:c>
      <x:c r="B369" s="89"/>
      <x:c r="C369" s="58"/>
      <x:c r="D369" s="58"/>
      <x:c r="E369" s="58"/>
      <x:c r="F369" s="91"/>
      <x:c r="G369" s="91"/>
      <x:c r="H369" s="91" t="str">
        <x:f>IF($F369="","",IFERROR(VALUE(LEFT($G369,FIND("/",$G369)-1))/100*$F369,$F369/2))</x:f>
      </x:c>
      <x:c r="I369" s="91" t="str">
        <x:f>IF($F369="","",IFERROR(VALUE(MID($G369,FIND("/",$G369)+1,99))/100*$F369,$F369/2))</x:f>
      </x:c>
      <x:c r="J369" s="58"/>
      <x:c r="K369" s="58"/>
    </x:row>
    <x:row r="370">
      <x:c r="A370" s="58" t="str">
        <x:f>IF(B370="","",ROW()-1)</x:f>
      </x:c>
      <x:c r="B370" s="89"/>
      <x:c r="C370" s="58"/>
      <x:c r="D370" s="58"/>
      <x:c r="E370" s="58"/>
      <x:c r="F370" s="91"/>
      <x:c r="G370" s="91"/>
      <x:c r="H370" s="91" t="str">
        <x:f>IF($F370="","",IFERROR(VALUE(LEFT($G370,FIND("/",$G370)-1))/100*$F370,$F370/2))</x:f>
      </x:c>
      <x:c r="I370" s="91" t="str">
        <x:f>IF($F370="","",IFERROR(VALUE(MID($G370,FIND("/",$G370)+1,99))/100*$F370,$F370/2))</x:f>
      </x:c>
      <x:c r="J370" s="58"/>
      <x:c r="K370" s="58"/>
    </x:row>
    <x:row r="371">
      <x:c r="A371" s="58" t="str">
        <x:f>IF(B371="","",ROW()-1)</x:f>
      </x:c>
      <x:c r="B371" s="89"/>
      <x:c r="C371" s="58"/>
      <x:c r="D371" s="58"/>
      <x:c r="E371" s="58"/>
      <x:c r="F371" s="91"/>
      <x:c r="G371" s="91"/>
      <x:c r="H371" s="91" t="str">
        <x:f>IF($F371="","",IFERROR(VALUE(LEFT($G371,FIND("/",$G371)-1))/100*$F371,$F371/2))</x:f>
      </x:c>
      <x:c r="I371" s="91" t="str">
        <x:f>IF($F371="","",IFERROR(VALUE(MID($G371,FIND("/",$G371)+1,99))/100*$F371,$F371/2))</x:f>
      </x:c>
      <x:c r="J371" s="58"/>
      <x:c r="K371" s="58"/>
    </x:row>
    <x:row r="372">
      <x:c r="A372" s="58" t="str">
        <x:f>IF(B372="","",ROW()-1)</x:f>
      </x:c>
      <x:c r="B372" s="89"/>
      <x:c r="C372" s="58"/>
      <x:c r="D372" s="58"/>
      <x:c r="E372" s="58"/>
      <x:c r="F372" s="91"/>
      <x:c r="G372" s="91"/>
      <x:c r="H372" s="91" t="str">
        <x:f>IF($F372="","",IFERROR(VALUE(LEFT($G372,FIND("/",$G372)-1))/100*$F372,$F372/2))</x:f>
      </x:c>
      <x:c r="I372" s="91" t="str">
        <x:f>IF($F372="","",IFERROR(VALUE(MID($G372,FIND("/",$G372)+1,99))/100*$F372,$F372/2))</x:f>
      </x:c>
      <x:c r="J372" s="58"/>
      <x:c r="K372" s="58"/>
    </x:row>
    <x:row r="373">
      <x:c r="A373" s="58" t="str">
        <x:f>IF(B373="","",ROW()-1)</x:f>
      </x:c>
      <x:c r="B373" s="89"/>
      <x:c r="C373" s="58"/>
      <x:c r="D373" s="58"/>
      <x:c r="E373" s="58"/>
      <x:c r="F373" s="91"/>
      <x:c r="G373" s="91"/>
      <x:c r="H373" s="91" t="str">
        <x:f>IF($F373="","",IFERROR(VALUE(LEFT($G373,FIND("/",$G373)-1))/100*$F373,$F373/2))</x:f>
      </x:c>
      <x:c r="I373" s="91" t="str">
        <x:f>IF($F373="","",IFERROR(VALUE(MID($G373,FIND("/",$G373)+1,99))/100*$F373,$F373/2))</x:f>
      </x:c>
      <x:c r="J373" s="58"/>
      <x:c r="K373" s="58"/>
    </x:row>
    <x:row r="374">
      <x:c r="A374" s="58" t="str">
        <x:f>IF(B374="","",ROW()-1)</x:f>
      </x:c>
      <x:c r="B374" s="89"/>
      <x:c r="C374" s="58"/>
      <x:c r="D374" s="58"/>
      <x:c r="E374" s="58"/>
      <x:c r="F374" s="91"/>
      <x:c r="G374" s="91"/>
      <x:c r="H374" s="91" t="str">
        <x:f>IF($F374="","",IFERROR(VALUE(LEFT($G374,FIND("/",$G374)-1))/100*$F374,$F374/2))</x:f>
      </x:c>
      <x:c r="I374" s="91" t="str">
        <x:f>IF($F374="","",IFERROR(VALUE(MID($G374,FIND("/",$G374)+1,99))/100*$F374,$F374/2))</x:f>
      </x:c>
      <x:c r="J374" s="58"/>
      <x:c r="K374" s="58"/>
    </x:row>
    <x:row r="375">
      <x:c r="A375" s="58" t="str">
        <x:f>IF(B375="","",ROW()-1)</x:f>
      </x:c>
      <x:c r="B375" s="89"/>
      <x:c r="C375" s="58"/>
      <x:c r="D375" s="58"/>
      <x:c r="E375" s="58"/>
      <x:c r="F375" s="91"/>
      <x:c r="G375" s="91"/>
      <x:c r="H375" s="91" t="str">
        <x:f>IF($F375="","",IFERROR(VALUE(LEFT($G375,FIND("/",$G375)-1))/100*$F375,$F375/2))</x:f>
      </x:c>
      <x:c r="I375" s="91" t="str">
        <x:f>IF($F375="","",IFERROR(VALUE(MID($G375,FIND("/",$G375)+1,99))/100*$F375,$F375/2))</x:f>
      </x:c>
      <x:c r="J375" s="58"/>
      <x:c r="K375" s="58"/>
    </x:row>
    <x:row r="376">
      <x:c r="A376" s="58" t="str">
        <x:f>IF(B376="","",ROW()-1)</x:f>
      </x:c>
      <x:c r="B376" s="89"/>
      <x:c r="C376" s="58"/>
      <x:c r="D376" s="58"/>
      <x:c r="E376" s="58"/>
      <x:c r="F376" s="91"/>
      <x:c r="G376" s="91"/>
      <x:c r="H376" s="91" t="str">
        <x:f>IF($F376="","",IFERROR(VALUE(LEFT($G376,FIND("/",$G376)-1))/100*$F376,$F376/2))</x:f>
      </x:c>
      <x:c r="I376" s="91" t="str">
        <x:f>IF($F376="","",IFERROR(VALUE(MID($G376,FIND("/",$G376)+1,99))/100*$F376,$F376/2))</x:f>
      </x:c>
      <x:c r="J376" s="58"/>
      <x:c r="K376" s="58"/>
    </x:row>
    <x:row r="377">
      <x:c r="A377" s="58" t="str">
        <x:f>IF(B377="","",ROW()-1)</x:f>
      </x:c>
      <x:c r="B377" s="89"/>
      <x:c r="C377" s="58"/>
      <x:c r="D377" s="58"/>
      <x:c r="E377" s="58"/>
      <x:c r="F377" s="91"/>
      <x:c r="G377" s="91"/>
      <x:c r="H377" s="91" t="str">
        <x:f>IF($F377="","",IFERROR(VALUE(LEFT($G377,FIND("/",$G377)-1))/100*$F377,$F377/2))</x:f>
      </x:c>
      <x:c r="I377" s="91" t="str">
        <x:f>IF($F377="","",IFERROR(VALUE(MID($G377,FIND("/",$G377)+1,99))/100*$F377,$F377/2))</x:f>
      </x:c>
      <x:c r="J377" s="58"/>
      <x:c r="K377" s="58"/>
    </x:row>
    <x:row r="378">
      <x:c r="A378" s="58" t="str">
        <x:f>IF(B378="","",ROW()-1)</x:f>
      </x:c>
      <x:c r="B378" s="89"/>
      <x:c r="C378" s="58"/>
      <x:c r="D378" s="58"/>
      <x:c r="E378" s="58"/>
      <x:c r="F378" s="91"/>
      <x:c r="G378" s="91"/>
      <x:c r="H378" s="91" t="str">
        <x:f>IF($F378="","",IFERROR(VALUE(LEFT($G378,FIND("/",$G378)-1))/100*$F378,$F378/2))</x:f>
      </x:c>
      <x:c r="I378" s="91" t="str">
        <x:f>IF($F378="","",IFERROR(VALUE(MID($G378,FIND("/",$G378)+1,99))/100*$F378,$F378/2))</x:f>
      </x:c>
      <x:c r="J378" s="58"/>
      <x:c r="K378" s="58"/>
    </x:row>
    <x:row r="379">
      <x:c r="A379" s="58" t="str">
        <x:f>IF(B379="","",ROW()-1)</x:f>
      </x:c>
      <x:c r="B379" s="89"/>
      <x:c r="C379" s="58"/>
      <x:c r="D379" s="58"/>
      <x:c r="E379" s="58"/>
      <x:c r="F379" s="91"/>
      <x:c r="G379" s="91"/>
      <x:c r="H379" s="91" t="str">
        <x:f>IF($F379="","",IFERROR(VALUE(LEFT($G379,FIND("/",$G379)-1))/100*$F379,$F379/2))</x:f>
      </x:c>
      <x:c r="I379" s="91" t="str">
        <x:f>IF($F379="","",IFERROR(VALUE(MID($G379,FIND("/",$G379)+1,99))/100*$F379,$F379/2))</x:f>
      </x:c>
      <x:c r="J379" s="58"/>
      <x:c r="K379" s="58"/>
    </x:row>
    <x:row r="380">
      <x:c r="A380" s="58" t="str">
        <x:f>IF(B380="","",ROW()-1)</x:f>
      </x:c>
      <x:c r="B380" s="89"/>
      <x:c r="C380" s="58"/>
      <x:c r="D380" s="58"/>
      <x:c r="E380" s="58"/>
      <x:c r="F380" s="91"/>
      <x:c r="G380" s="91"/>
      <x:c r="H380" s="91" t="str">
        <x:f>IF($F380="","",IFERROR(VALUE(LEFT($G380,FIND("/",$G380)-1))/100*$F380,$F380/2))</x:f>
      </x:c>
      <x:c r="I380" s="91" t="str">
        <x:f>IF($F380="","",IFERROR(VALUE(MID($G380,FIND("/",$G380)+1,99))/100*$F380,$F380/2))</x:f>
      </x:c>
      <x:c r="J380" s="58"/>
      <x:c r="K380" s="58"/>
    </x:row>
    <x:row r="381">
      <x:c r="A381" s="58" t="str">
        <x:f>IF(B381="","",ROW()-1)</x:f>
      </x:c>
      <x:c r="B381" s="89"/>
      <x:c r="C381" s="58"/>
      <x:c r="D381" s="58"/>
      <x:c r="E381" s="58"/>
      <x:c r="F381" s="91"/>
      <x:c r="G381" s="91"/>
      <x:c r="H381" s="91" t="str">
        <x:f>IF($F381="","",IFERROR(VALUE(LEFT($G381,FIND("/",$G381)-1))/100*$F381,$F381/2))</x:f>
      </x:c>
      <x:c r="I381" s="91" t="str">
        <x:f>IF($F381="","",IFERROR(VALUE(MID($G381,FIND("/",$G381)+1,99))/100*$F381,$F381/2))</x:f>
      </x:c>
      <x:c r="J381" s="58"/>
      <x:c r="K381" s="58"/>
    </x:row>
    <x:row r="382">
      <x:c r="A382" s="58" t="str">
        <x:f>IF(B382="","",ROW()-1)</x:f>
      </x:c>
      <x:c r="B382" s="89"/>
      <x:c r="C382" s="58"/>
      <x:c r="D382" s="58"/>
      <x:c r="E382" s="58"/>
      <x:c r="F382" s="91"/>
      <x:c r="G382" s="91"/>
      <x:c r="H382" s="91" t="str">
        <x:f>IF($F382="","",IFERROR(VALUE(LEFT($G382,FIND("/",$G382)-1))/100*$F382,$F382/2))</x:f>
      </x:c>
      <x:c r="I382" s="91" t="str">
        <x:f>IF($F382="","",IFERROR(VALUE(MID($G382,FIND("/",$G382)+1,99))/100*$F382,$F382/2))</x:f>
      </x:c>
      <x:c r="J382" s="58"/>
      <x:c r="K382" s="58"/>
    </x:row>
    <x:row r="383">
      <x:c r="A383" s="58" t="str">
        <x:f>IF(B383="","",ROW()-1)</x:f>
      </x:c>
      <x:c r="B383" s="89"/>
      <x:c r="C383" s="58"/>
      <x:c r="D383" s="58"/>
      <x:c r="E383" s="58"/>
      <x:c r="F383" s="91"/>
      <x:c r="G383" s="91"/>
      <x:c r="H383" s="91" t="str">
        <x:f>IF($F383="","",IFERROR(VALUE(LEFT($G383,FIND("/",$G383)-1))/100*$F383,$F383/2))</x:f>
      </x:c>
      <x:c r="I383" s="91" t="str">
        <x:f>IF($F383="","",IFERROR(VALUE(MID($G383,FIND("/",$G383)+1,99))/100*$F383,$F383/2))</x:f>
      </x:c>
      <x:c r="J383" s="58"/>
      <x:c r="K383" s="58"/>
    </x:row>
    <x:row r="384">
      <x:c r="A384" s="58" t="str">
        <x:f>IF(B384="","",ROW()-1)</x:f>
      </x:c>
      <x:c r="B384" s="89"/>
      <x:c r="C384" s="58"/>
      <x:c r="D384" s="58"/>
      <x:c r="E384" s="58"/>
      <x:c r="F384" s="91"/>
      <x:c r="G384" s="91"/>
      <x:c r="H384" s="91" t="str">
        <x:f>IF($F384="","",IFERROR(VALUE(LEFT($G384,FIND("/",$G384)-1))/100*$F384,$F384/2))</x:f>
      </x:c>
      <x:c r="I384" s="91" t="str">
        <x:f>IF($F384="","",IFERROR(VALUE(MID($G384,FIND("/",$G384)+1,99))/100*$F384,$F384/2))</x:f>
      </x:c>
      <x:c r="J384" s="58"/>
      <x:c r="K384" s="58"/>
    </x:row>
    <x:row r="385">
      <x:c r="A385" s="58" t="str">
        <x:f>IF(B385="","",ROW()-1)</x:f>
      </x:c>
      <x:c r="B385" s="89"/>
      <x:c r="C385" s="58"/>
      <x:c r="D385" s="58"/>
      <x:c r="E385" s="58"/>
      <x:c r="F385" s="91"/>
      <x:c r="G385" s="91"/>
      <x:c r="H385" s="91" t="str">
        <x:f>IF($F385="","",IFERROR(VALUE(LEFT($G385,FIND("/",$G385)-1))/100*$F385,$F385/2))</x:f>
      </x:c>
      <x:c r="I385" s="91" t="str">
        <x:f>IF($F385="","",IFERROR(VALUE(MID($G385,FIND("/",$G385)+1,99))/100*$F385,$F385/2))</x:f>
      </x:c>
      <x:c r="J385" s="58"/>
      <x:c r="K385" s="58"/>
    </x:row>
    <x:row r="386">
      <x:c r="A386" s="58" t="str">
        <x:f>IF(B386="","",ROW()-1)</x:f>
      </x:c>
      <x:c r="B386" s="89"/>
      <x:c r="C386" s="58"/>
      <x:c r="D386" s="58"/>
      <x:c r="E386" s="58"/>
      <x:c r="F386" s="91"/>
      <x:c r="G386" s="91"/>
      <x:c r="H386" s="91" t="str">
        <x:f>IF($F386="","",IFERROR(VALUE(LEFT($G386,FIND("/",$G386)-1))/100*$F386,$F386/2))</x:f>
      </x:c>
      <x:c r="I386" s="91" t="str">
        <x:f>IF($F386="","",IFERROR(VALUE(MID($G386,FIND("/",$G386)+1,99))/100*$F386,$F386/2))</x:f>
      </x:c>
      <x:c r="J386" s="58"/>
      <x:c r="K386" s="58"/>
    </x:row>
    <x:row r="387">
      <x:c r="A387" s="58" t="str">
        <x:f>IF(B387="","",ROW()-1)</x:f>
      </x:c>
      <x:c r="B387" s="89"/>
      <x:c r="C387" s="58"/>
      <x:c r="D387" s="58"/>
      <x:c r="E387" s="58"/>
      <x:c r="F387" s="91"/>
      <x:c r="G387" s="91"/>
      <x:c r="H387" s="91" t="str">
        <x:f>IF($F387="","",IFERROR(VALUE(LEFT($G387,FIND("/",$G387)-1))/100*$F387,$F387/2))</x:f>
      </x:c>
      <x:c r="I387" s="91" t="str">
        <x:f>IF($F387="","",IFERROR(VALUE(MID($G387,FIND("/",$G387)+1,99))/100*$F387,$F387/2))</x:f>
      </x:c>
      <x:c r="J387" s="58"/>
      <x:c r="K387" s="58"/>
    </x:row>
    <x:row r="388">
      <x:c r="A388" s="58" t="str">
        <x:f>IF(B388="","",ROW()-1)</x:f>
      </x:c>
      <x:c r="B388" s="89"/>
      <x:c r="C388" s="58"/>
      <x:c r="D388" s="58"/>
      <x:c r="E388" s="58"/>
      <x:c r="F388" s="91"/>
      <x:c r="G388" s="91"/>
      <x:c r="H388" s="91" t="str">
        <x:f>IF($F388="","",IFERROR(VALUE(LEFT($G388,FIND("/",$G388)-1))/100*$F388,$F388/2))</x:f>
      </x:c>
      <x:c r="I388" s="91" t="str">
        <x:f>IF($F388="","",IFERROR(VALUE(MID($G388,FIND("/",$G388)+1,99))/100*$F388,$F388/2))</x:f>
      </x:c>
      <x:c r="J388" s="58"/>
      <x:c r="K388" s="58"/>
    </x:row>
    <x:row r="389">
      <x:c r="A389" s="58" t="str">
        <x:f>IF(B389="","",ROW()-1)</x:f>
      </x:c>
      <x:c r="B389" s="89"/>
      <x:c r="C389" s="58"/>
      <x:c r="D389" s="58"/>
      <x:c r="E389" s="58"/>
      <x:c r="F389" s="91"/>
      <x:c r="G389" s="91"/>
      <x:c r="H389" s="91" t="str">
        <x:f>IF($F389="","",IFERROR(VALUE(LEFT($G389,FIND("/",$G389)-1))/100*$F389,$F389/2))</x:f>
      </x:c>
      <x:c r="I389" s="91" t="str">
        <x:f>IF($F389="","",IFERROR(VALUE(MID($G389,FIND("/",$G389)+1,99))/100*$F389,$F389/2))</x:f>
      </x:c>
      <x:c r="J389" s="58"/>
      <x:c r="K389" s="58"/>
    </x:row>
    <x:row r="390">
      <x:c r="A390" s="58" t="str">
        <x:f>IF(B390="","",ROW()-1)</x:f>
      </x:c>
      <x:c r="B390" s="89"/>
      <x:c r="C390" s="58"/>
      <x:c r="D390" s="58"/>
      <x:c r="E390" s="58"/>
      <x:c r="F390" s="91"/>
      <x:c r="G390" s="91"/>
      <x:c r="H390" s="91" t="str">
        <x:f>IF($F390="","",IFERROR(VALUE(LEFT($G390,FIND("/",$G390)-1))/100*$F390,$F390/2))</x:f>
      </x:c>
      <x:c r="I390" s="91" t="str">
        <x:f>IF($F390="","",IFERROR(VALUE(MID($G390,FIND("/",$G390)+1,99))/100*$F390,$F390/2))</x:f>
      </x:c>
      <x:c r="J390" s="58"/>
      <x:c r="K390" s="58"/>
    </x:row>
    <x:row r="391">
      <x:c r="A391" s="58" t="str">
        <x:f>IF(B391="","",ROW()-1)</x:f>
      </x:c>
      <x:c r="B391" s="89"/>
      <x:c r="C391" s="58"/>
      <x:c r="D391" s="58"/>
      <x:c r="E391" s="58"/>
      <x:c r="F391" s="91"/>
      <x:c r="G391" s="91"/>
      <x:c r="H391" s="91" t="str">
        <x:f>IF($F391="","",IFERROR(VALUE(LEFT($G391,FIND("/",$G391)-1))/100*$F391,$F391/2))</x:f>
      </x:c>
      <x:c r="I391" s="91" t="str">
        <x:f>IF($F391="","",IFERROR(VALUE(MID($G391,FIND("/",$G391)+1,99))/100*$F391,$F391/2))</x:f>
      </x:c>
      <x:c r="J391" s="58"/>
      <x:c r="K391" s="58"/>
    </x:row>
    <x:row r="392">
      <x:c r="A392" s="58" t="str">
        <x:f>IF(B392="","",ROW()-1)</x:f>
      </x:c>
      <x:c r="B392" s="89"/>
      <x:c r="C392" s="58"/>
      <x:c r="D392" s="58"/>
      <x:c r="E392" s="58"/>
      <x:c r="F392" s="91"/>
      <x:c r="G392" s="91"/>
      <x:c r="H392" s="91" t="str">
        <x:f>IF($F392="","",IFERROR(VALUE(LEFT($G392,FIND("/",$G392)-1))/100*$F392,$F392/2))</x:f>
      </x:c>
      <x:c r="I392" s="91" t="str">
        <x:f>IF($F392="","",IFERROR(VALUE(MID($G392,FIND("/",$G392)+1,99))/100*$F392,$F392/2))</x:f>
      </x:c>
      <x:c r="J392" s="58"/>
      <x:c r="K392" s="58"/>
    </x:row>
    <x:row r="393">
      <x:c r="A393" s="58" t="str">
        <x:f>IF(B393="","",ROW()-1)</x:f>
      </x:c>
      <x:c r="B393" s="89"/>
      <x:c r="C393" s="58"/>
      <x:c r="D393" s="58"/>
      <x:c r="E393" s="58"/>
      <x:c r="F393" s="91"/>
      <x:c r="G393" s="91"/>
      <x:c r="H393" s="91" t="str">
        <x:f>IF($F393="","",IFERROR(VALUE(LEFT($G393,FIND("/",$G393)-1))/100*$F393,$F393/2))</x:f>
      </x:c>
      <x:c r="I393" s="91" t="str">
        <x:f>IF($F393="","",IFERROR(VALUE(MID($G393,FIND("/",$G393)+1,99))/100*$F393,$F393/2))</x:f>
      </x:c>
      <x:c r="J393" s="58"/>
      <x:c r="K393" s="58"/>
    </x:row>
    <x:row r="394">
      <x:c r="A394" s="58" t="str">
        <x:f>IF(B394="","",ROW()-1)</x:f>
      </x:c>
      <x:c r="B394" s="89"/>
      <x:c r="C394" s="58"/>
      <x:c r="D394" s="58"/>
      <x:c r="E394" s="58"/>
      <x:c r="F394" s="91"/>
      <x:c r="G394" s="91"/>
      <x:c r="H394" s="91" t="str">
        <x:f>IF($F394="","",IFERROR(VALUE(LEFT($G394,FIND("/",$G394)-1))/100*$F394,$F394/2))</x:f>
      </x:c>
      <x:c r="I394" s="91" t="str">
        <x:f>IF($F394="","",IFERROR(VALUE(MID($G394,FIND("/",$G394)+1,99))/100*$F394,$F394/2))</x:f>
      </x:c>
      <x:c r="J394" s="58"/>
      <x:c r="K394" s="58"/>
    </x:row>
    <x:row r="395">
      <x:c r="A395" s="58" t="str">
        <x:f>IF(B395="","",ROW()-1)</x:f>
      </x:c>
      <x:c r="B395" s="89"/>
      <x:c r="C395" s="58"/>
      <x:c r="D395" s="58"/>
      <x:c r="E395" s="58"/>
      <x:c r="F395" s="91"/>
      <x:c r="G395" s="91"/>
      <x:c r="H395" s="91" t="str">
        <x:f>IF($F395="","",IFERROR(VALUE(LEFT($G395,FIND("/",$G395)-1))/100*$F395,$F395/2))</x:f>
      </x:c>
      <x:c r="I395" s="91" t="str">
        <x:f>IF($F395="","",IFERROR(VALUE(MID($G395,FIND("/",$G395)+1,99))/100*$F395,$F395/2))</x:f>
      </x:c>
      <x:c r="J395" s="58"/>
      <x:c r="K395" s="58"/>
    </x:row>
    <x:row r="396">
      <x:c r="A396" s="58" t="str">
        <x:f>IF(B396="","",ROW()-1)</x:f>
      </x:c>
      <x:c r="B396" s="89"/>
      <x:c r="C396" s="58"/>
      <x:c r="D396" s="58"/>
      <x:c r="E396" s="58"/>
      <x:c r="F396" s="91"/>
      <x:c r="G396" s="91"/>
      <x:c r="H396" s="91" t="str">
        <x:f>IF($F396="","",IFERROR(VALUE(LEFT($G396,FIND("/",$G396)-1))/100*$F396,$F396/2))</x:f>
      </x:c>
      <x:c r="I396" s="91" t="str">
        <x:f>IF($F396="","",IFERROR(VALUE(MID($G396,FIND("/",$G396)+1,99))/100*$F396,$F396/2))</x:f>
      </x:c>
      <x:c r="J396" s="58"/>
      <x:c r="K396" s="58"/>
    </x:row>
    <x:row r="397">
      <x:c r="A397" s="58" t="str">
        <x:f>IF(B397="","",ROW()-1)</x:f>
      </x:c>
      <x:c r="B397" s="89"/>
      <x:c r="C397" s="58"/>
      <x:c r="D397" s="58"/>
      <x:c r="E397" s="58"/>
      <x:c r="F397" s="91"/>
      <x:c r="G397" s="91"/>
      <x:c r="H397" s="91" t="str">
        <x:f>IF($F397="","",IFERROR(VALUE(LEFT($G397,FIND("/",$G397)-1))/100*$F397,$F397/2))</x:f>
      </x:c>
      <x:c r="I397" s="91" t="str">
        <x:f>IF($F397="","",IFERROR(VALUE(MID($G397,FIND("/",$G397)+1,99))/100*$F397,$F397/2))</x:f>
      </x:c>
      <x:c r="J397" s="58"/>
      <x:c r="K397" s="58"/>
    </x:row>
    <x:row r="398">
      <x:c r="A398" s="58" t="str">
        <x:f>IF(B398="","",ROW()-1)</x:f>
      </x:c>
      <x:c r="B398" s="89"/>
      <x:c r="C398" s="58"/>
      <x:c r="D398" s="58"/>
      <x:c r="E398" s="58"/>
      <x:c r="F398" s="91"/>
      <x:c r="G398" s="91"/>
      <x:c r="H398" s="91" t="str">
        <x:f>IF($F398="","",IFERROR(VALUE(LEFT($G398,FIND("/",$G398)-1))/100*$F398,$F398/2))</x:f>
      </x:c>
      <x:c r="I398" s="91" t="str">
        <x:f>IF($F398="","",IFERROR(VALUE(MID($G398,FIND("/",$G398)+1,99))/100*$F398,$F398/2))</x:f>
      </x:c>
      <x:c r="J398" s="58"/>
      <x:c r="K398" s="58"/>
    </x:row>
    <x:row r="399">
      <x:c r="A399" s="58" t="str">
        <x:f>IF(B399="","",ROW()-1)</x:f>
      </x:c>
      <x:c r="B399" s="89"/>
      <x:c r="C399" s="58"/>
      <x:c r="D399" s="58"/>
      <x:c r="E399" s="58"/>
      <x:c r="F399" s="91"/>
      <x:c r="G399" s="91"/>
      <x:c r="H399" s="91" t="str">
        <x:f>IF($F399="","",IFERROR(VALUE(LEFT($G399,FIND("/",$G399)-1))/100*$F399,$F399/2))</x:f>
      </x:c>
      <x:c r="I399" s="91" t="str">
        <x:f>IF($F399="","",IFERROR(VALUE(MID($G399,FIND("/",$G399)+1,99))/100*$F399,$F399/2))</x:f>
      </x:c>
      <x:c r="J399" s="58"/>
      <x:c r="K399" s="58"/>
    </x:row>
    <x:row r="400">
      <x:c r="A400" s="58" t="str">
        <x:f>IF(B400="","",ROW()-1)</x:f>
      </x:c>
      <x:c r="B400" s="89"/>
      <x:c r="C400" s="58"/>
      <x:c r="D400" s="58"/>
      <x:c r="E400" s="58"/>
      <x:c r="F400" s="91"/>
      <x:c r="G400" s="91"/>
      <x:c r="H400" s="91" t="str">
        <x:f>IF($F400="","",IFERROR(VALUE(LEFT($G400,FIND("/",$G400)-1))/100*$F400,$F400/2))</x:f>
      </x:c>
      <x:c r="I400" s="91" t="str">
        <x:f>IF($F400="","",IFERROR(VALUE(MID($G400,FIND("/",$G400)+1,99))/100*$F400,$F400/2))</x:f>
      </x:c>
      <x:c r="J400" s="58"/>
      <x:c r="K400" s="58"/>
    </x:row>
    <x:row r="401">
      <x:c r="A401" s="58" t="str">
        <x:f>IF(B401="","",ROW()-1)</x:f>
      </x:c>
      <x:c r="B401" s="89"/>
      <x:c r="C401" s="58"/>
      <x:c r="D401" s="58"/>
      <x:c r="E401" s="58"/>
      <x:c r="F401" s="91"/>
      <x:c r="G401" s="91"/>
      <x:c r="H401" s="91" t="str">
        <x:f>IF($F401="","",IFERROR(VALUE(LEFT($G401,FIND("/",$G401)-1))/100*$F401,$F401/2))</x:f>
      </x:c>
      <x:c r="I401" s="91" t="str">
        <x:f>IF($F401="","",IFERROR(VALUE(MID($G401,FIND("/",$G401)+1,99))/100*$F401,$F401/2))</x:f>
      </x:c>
      <x:c r="J401" s="58"/>
      <x:c r="K401" s="58"/>
    </x:row>
    <x:row r="402">
      <x:c r="A402" s="58" t="str">
        <x:f>IF(B402="","",ROW()-1)</x:f>
      </x:c>
      <x:c r="B402" s="89"/>
      <x:c r="C402" s="58"/>
      <x:c r="D402" s="58"/>
      <x:c r="E402" s="58"/>
      <x:c r="F402" s="91"/>
      <x:c r="G402" s="91"/>
      <x:c r="H402" s="91" t="str">
        <x:f>IF($F402="","",IFERROR(VALUE(LEFT($G402,FIND("/",$G402)-1))/100*$F402,$F402/2))</x:f>
      </x:c>
      <x:c r="I402" s="91" t="str">
        <x:f>IF($F402="","",IFERROR(VALUE(MID($G402,FIND("/",$G402)+1,99))/100*$F402,$F402/2))</x:f>
      </x:c>
      <x:c r="J402" s="58"/>
      <x:c r="K402" s="58"/>
    </x:row>
    <x:row r="403">
      <x:c r="A403" s="58" t="str">
        <x:f>IF(B403="","",ROW()-1)</x:f>
      </x:c>
      <x:c r="B403" s="89"/>
      <x:c r="C403" s="58"/>
      <x:c r="D403" s="58"/>
      <x:c r="E403" s="58"/>
      <x:c r="F403" s="91"/>
      <x:c r="G403" s="91"/>
      <x:c r="H403" s="91" t="str">
        <x:f>IF($F403="","",IFERROR(VALUE(LEFT($G403,FIND("/",$G403)-1))/100*$F403,$F403/2))</x:f>
      </x:c>
      <x:c r="I403" s="91" t="str">
        <x:f>IF($F403="","",IFERROR(VALUE(MID($G403,FIND("/",$G403)+1,99))/100*$F403,$F403/2))</x:f>
      </x:c>
      <x:c r="J403" s="58"/>
      <x:c r="K403" s="58"/>
    </x:row>
    <x:row r="404">
      <x:c r="A404" s="58" t="str">
        <x:f>IF(B404="","",ROW()-1)</x:f>
      </x:c>
      <x:c r="B404" s="89"/>
      <x:c r="C404" s="58"/>
      <x:c r="D404" s="58"/>
      <x:c r="E404" s="58"/>
      <x:c r="F404" s="91"/>
      <x:c r="G404" s="91"/>
      <x:c r="H404" s="91" t="str">
        <x:f>IF($F404="","",IFERROR(VALUE(LEFT($G404,FIND("/",$G404)-1))/100*$F404,$F404/2))</x:f>
      </x:c>
      <x:c r="I404" s="91" t="str">
        <x:f>IF($F404="","",IFERROR(VALUE(MID($G404,FIND("/",$G404)+1,99))/100*$F404,$F404/2))</x:f>
      </x:c>
      <x:c r="J404" s="58"/>
      <x:c r="K404" s="58"/>
    </x:row>
    <x:row r="405">
      <x:c r="A405" s="58" t="str">
        <x:f>IF(B405="","",ROW()-1)</x:f>
      </x:c>
      <x:c r="B405" s="89"/>
      <x:c r="C405" s="58"/>
      <x:c r="D405" s="58"/>
      <x:c r="E405" s="58"/>
      <x:c r="F405" s="91"/>
      <x:c r="G405" s="91"/>
      <x:c r="H405" s="91" t="str">
        <x:f>IF($F405="","",IFERROR(VALUE(LEFT($G405,FIND("/",$G405)-1))/100*$F405,$F405/2))</x:f>
      </x:c>
      <x:c r="I405" s="91" t="str">
        <x:f>IF($F405="","",IFERROR(VALUE(MID($G405,FIND("/",$G405)+1,99))/100*$F405,$F405/2))</x:f>
      </x:c>
      <x:c r="J405" s="58"/>
      <x:c r="K405" s="58"/>
    </x:row>
    <x:row r="406">
      <x:c r="A406" s="58" t="str">
        <x:f>IF(B406="","",ROW()-1)</x:f>
      </x:c>
      <x:c r="B406" s="89"/>
      <x:c r="C406" s="58"/>
      <x:c r="D406" s="58"/>
      <x:c r="E406" s="58"/>
      <x:c r="F406" s="91"/>
      <x:c r="G406" s="91"/>
      <x:c r="H406" s="91" t="str">
        <x:f>IF($F406="","",IFERROR(VALUE(LEFT($G406,FIND("/",$G406)-1))/100*$F406,$F406/2))</x:f>
      </x:c>
      <x:c r="I406" s="91" t="str">
        <x:f>IF($F406="","",IFERROR(VALUE(MID($G406,FIND("/",$G406)+1,99))/100*$F406,$F406/2))</x:f>
      </x:c>
      <x:c r="J406" s="58"/>
      <x:c r="K406" s="58"/>
    </x:row>
    <x:row r="407">
      <x:c r="A407" s="58" t="str">
        <x:f>IF(B407="","",ROW()-1)</x:f>
      </x:c>
      <x:c r="B407" s="89"/>
      <x:c r="C407" s="58"/>
      <x:c r="D407" s="58"/>
      <x:c r="E407" s="58"/>
      <x:c r="F407" s="91"/>
      <x:c r="G407" s="91"/>
      <x:c r="H407" s="91" t="str">
        <x:f>IF($F407="","",IFERROR(VALUE(LEFT($G407,FIND("/",$G407)-1))/100*$F407,$F407/2))</x:f>
      </x:c>
      <x:c r="I407" s="91" t="str">
        <x:f>IF($F407="","",IFERROR(VALUE(MID($G407,FIND("/",$G407)+1,99))/100*$F407,$F407/2))</x:f>
      </x:c>
      <x:c r="J407" s="58"/>
      <x:c r="K407" s="58"/>
    </x:row>
    <x:row r="408">
      <x:c r="A408" s="58" t="str">
        <x:f>IF(B408="","",ROW()-1)</x:f>
      </x:c>
      <x:c r="B408" s="89"/>
      <x:c r="C408" s="58"/>
      <x:c r="D408" s="58"/>
      <x:c r="E408" s="58"/>
      <x:c r="F408" s="91"/>
      <x:c r="G408" s="91"/>
      <x:c r="H408" s="91" t="str">
        <x:f>IF($F408="","",IFERROR(VALUE(LEFT($G408,FIND("/",$G408)-1))/100*$F408,$F408/2))</x:f>
      </x:c>
      <x:c r="I408" s="91" t="str">
        <x:f>IF($F408="","",IFERROR(VALUE(MID($G408,FIND("/",$G408)+1,99))/100*$F408,$F408/2))</x:f>
      </x:c>
      <x:c r="J408" s="58"/>
      <x:c r="K408" s="58"/>
    </x:row>
    <x:row r="409">
      <x:c r="A409" s="58" t="str">
        <x:f>IF(B409="","",ROW()-1)</x:f>
      </x:c>
      <x:c r="B409" s="89"/>
      <x:c r="C409" s="58"/>
      <x:c r="D409" s="58"/>
      <x:c r="E409" s="58"/>
      <x:c r="F409" s="91"/>
      <x:c r="G409" s="91"/>
      <x:c r="H409" s="91" t="str">
        <x:f>IF($F409="","",IFERROR(VALUE(LEFT($G409,FIND("/",$G409)-1))/100*$F409,$F409/2))</x:f>
      </x:c>
      <x:c r="I409" s="91" t="str">
        <x:f>IF($F409="","",IFERROR(VALUE(MID($G409,FIND("/",$G409)+1,99))/100*$F409,$F409/2))</x:f>
      </x:c>
      <x:c r="J409" s="58"/>
      <x:c r="K409" s="58"/>
    </x:row>
    <x:row r="410">
      <x:c r="A410" s="58" t="str">
        <x:f>IF(B410="","",ROW()-1)</x:f>
      </x:c>
      <x:c r="B410" s="89"/>
      <x:c r="C410" s="58"/>
      <x:c r="D410" s="58"/>
      <x:c r="E410" s="58"/>
      <x:c r="F410" s="91"/>
      <x:c r="G410" s="91"/>
      <x:c r="H410" s="91" t="str">
        <x:f>IF($F410="","",IFERROR(VALUE(LEFT($G410,FIND("/",$G410)-1))/100*$F410,$F410/2))</x:f>
      </x:c>
      <x:c r="I410" s="91" t="str">
        <x:f>IF($F410="","",IFERROR(VALUE(MID($G410,FIND("/",$G410)+1,99))/100*$F410,$F410/2))</x:f>
      </x:c>
      <x:c r="J410" s="58"/>
      <x:c r="K410" s="58"/>
    </x:row>
    <x:row r="411">
      <x:c r="A411" s="58" t="str">
        <x:f>IF(B411="","",ROW()-1)</x:f>
      </x:c>
      <x:c r="B411" s="89"/>
      <x:c r="C411" s="58"/>
      <x:c r="D411" s="58"/>
      <x:c r="E411" s="58"/>
      <x:c r="F411" s="91"/>
      <x:c r="G411" s="91"/>
      <x:c r="H411" s="91" t="str">
        <x:f>IF($F411="","",IFERROR(VALUE(LEFT($G411,FIND("/",$G411)-1))/100*$F411,$F411/2))</x:f>
      </x:c>
      <x:c r="I411" s="91" t="str">
        <x:f>IF($F411="","",IFERROR(VALUE(MID($G411,FIND("/",$G411)+1,99))/100*$F411,$F411/2))</x:f>
      </x:c>
      <x:c r="J411" s="58"/>
      <x:c r="K411" s="58"/>
    </x:row>
    <x:row r="412">
      <x:c r="A412" s="58" t="str">
        <x:f>IF(B412="","",ROW()-1)</x:f>
      </x:c>
      <x:c r="B412" s="89"/>
      <x:c r="C412" s="58"/>
      <x:c r="D412" s="58"/>
      <x:c r="E412" s="58"/>
      <x:c r="F412" s="91"/>
      <x:c r="G412" s="91"/>
      <x:c r="H412" s="91" t="str">
        <x:f>IF($F412="","",IFERROR(VALUE(LEFT($G412,FIND("/",$G412)-1))/100*$F412,$F412/2))</x:f>
      </x:c>
      <x:c r="I412" s="91" t="str">
        <x:f>IF($F412="","",IFERROR(VALUE(MID($G412,FIND("/",$G412)+1,99))/100*$F412,$F412/2))</x:f>
      </x:c>
      <x:c r="J412" s="58"/>
      <x:c r="K412" s="58"/>
    </x:row>
    <x:row r="413">
      <x:c r="A413" s="58" t="str">
        <x:f>IF(B413="","",ROW()-1)</x:f>
      </x:c>
      <x:c r="B413" s="89"/>
      <x:c r="C413" s="58"/>
      <x:c r="D413" s="58"/>
      <x:c r="E413" s="58"/>
      <x:c r="F413" s="91"/>
      <x:c r="G413" s="91"/>
      <x:c r="H413" s="91" t="str">
        <x:f>IF($F413="","",IFERROR(VALUE(LEFT($G413,FIND("/",$G413)-1))/100*$F413,$F413/2))</x:f>
      </x:c>
      <x:c r="I413" s="91" t="str">
        <x:f>IF($F413="","",IFERROR(VALUE(MID($G413,FIND("/",$G413)+1,99))/100*$F413,$F413/2))</x:f>
      </x:c>
      <x:c r="J413" s="58"/>
      <x:c r="K413" s="58"/>
    </x:row>
    <x:row r="414">
      <x:c r="A414" s="58" t="str">
        <x:f>IF(B414="","",ROW()-1)</x:f>
      </x:c>
      <x:c r="B414" s="89"/>
      <x:c r="C414" s="58"/>
      <x:c r="D414" s="58"/>
      <x:c r="E414" s="58"/>
      <x:c r="F414" s="91"/>
      <x:c r="G414" s="91"/>
      <x:c r="H414" s="91" t="str">
        <x:f>IF($F414="","",IFERROR(VALUE(LEFT($G414,FIND("/",$G414)-1))/100*$F414,$F414/2))</x:f>
      </x:c>
      <x:c r="I414" s="91" t="str">
        <x:f>IF($F414="","",IFERROR(VALUE(MID($G414,FIND("/",$G414)+1,99))/100*$F414,$F414/2))</x:f>
      </x:c>
      <x:c r="J414" s="58"/>
      <x:c r="K414" s="58"/>
    </x:row>
    <x:row r="415">
      <x:c r="A415" s="58" t="str">
        <x:f>IF(B415="","",ROW()-1)</x:f>
      </x:c>
      <x:c r="B415" s="89"/>
      <x:c r="C415" s="58"/>
      <x:c r="D415" s="58"/>
      <x:c r="E415" s="58"/>
      <x:c r="F415" s="91"/>
      <x:c r="G415" s="91"/>
      <x:c r="H415" s="91" t="str">
        <x:f>IF($F415="","",IFERROR(VALUE(LEFT($G415,FIND("/",$G415)-1))/100*$F415,$F415/2))</x:f>
      </x:c>
      <x:c r="I415" s="91" t="str">
        <x:f>IF($F415="","",IFERROR(VALUE(MID($G415,FIND("/",$G415)+1,99))/100*$F415,$F415/2))</x:f>
      </x:c>
      <x:c r="J415" s="58"/>
      <x:c r="K415" s="58"/>
    </x:row>
    <x:row r="416">
      <x:c r="A416" s="58" t="str">
        <x:f>IF(B416="","",ROW()-1)</x:f>
      </x:c>
      <x:c r="B416" s="89"/>
      <x:c r="C416" s="58"/>
      <x:c r="D416" s="58"/>
      <x:c r="E416" s="58"/>
      <x:c r="F416" s="91"/>
      <x:c r="G416" s="91"/>
      <x:c r="H416" s="91" t="str">
        <x:f>IF($F416="","",IFERROR(VALUE(LEFT($G416,FIND("/",$G416)-1))/100*$F416,$F416/2))</x:f>
      </x:c>
      <x:c r="I416" s="91" t="str">
        <x:f>IF($F416="","",IFERROR(VALUE(MID($G416,FIND("/",$G416)+1,99))/100*$F416,$F416/2))</x:f>
      </x:c>
      <x:c r="J416" s="58"/>
      <x:c r="K416" s="58"/>
    </x:row>
    <x:row r="417">
      <x:c r="A417" s="58" t="str">
        <x:f>IF(B417="","",ROW()-1)</x:f>
      </x:c>
      <x:c r="B417" s="89"/>
      <x:c r="C417" s="58"/>
      <x:c r="D417" s="58"/>
      <x:c r="E417" s="58"/>
      <x:c r="F417" s="91"/>
      <x:c r="G417" s="91"/>
      <x:c r="H417" s="91" t="str">
        <x:f>IF($F417="","",IFERROR(VALUE(LEFT($G417,FIND("/",$G417)-1))/100*$F417,$F417/2))</x:f>
      </x:c>
      <x:c r="I417" s="91" t="str">
        <x:f>IF($F417="","",IFERROR(VALUE(MID($G417,FIND("/",$G417)+1,99))/100*$F417,$F417/2))</x:f>
      </x:c>
      <x:c r="J417" s="58"/>
      <x:c r="K417" s="58"/>
    </x:row>
    <x:row r="418">
      <x:c r="A418" s="58" t="str">
        <x:f>IF(B418="","",ROW()-1)</x:f>
      </x:c>
      <x:c r="B418" s="89"/>
      <x:c r="C418" s="58"/>
      <x:c r="D418" s="58"/>
      <x:c r="E418" s="58"/>
      <x:c r="F418" s="91"/>
      <x:c r="G418" s="91"/>
      <x:c r="H418" s="91" t="str">
        <x:f>IF($F418="","",IFERROR(VALUE(LEFT($G418,FIND("/",$G418)-1))/100*$F418,$F418/2))</x:f>
      </x:c>
      <x:c r="I418" s="91" t="str">
        <x:f>IF($F418="","",IFERROR(VALUE(MID($G418,FIND("/",$G418)+1,99))/100*$F418,$F418/2))</x:f>
      </x:c>
      <x:c r="J418" s="58"/>
      <x:c r="K418" s="58"/>
    </x:row>
    <x:row r="419">
      <x:c r="A419" s="58" t="str">
        <x:f>IF(B419="","",ROW()-1)</x:f>
      </x:c>
      <x:c r="B419" s="89"/>
      <x:c r="C419" s="58"/>
      <x:c r="D419" s="58"/>
      <x:c r="E419" s="58"/>
      <x:c r="F419" s="91"/>
      <x:c r="G419" s="91"/>
      <x:c r="H419" s="91" t="str">
        <x:f>IF($F419="","",IFERROR(VALUE(LEFT($G419,FIND("/",$G419)-1))/100*$F419,$F419/2))</x:f>
      </x:c>
      <x:c r="I419" s="91" t="str">
        <x:f>IF($F419="","",IFERROR(VALUE(MID($G419,FIND("/",$G419)+1,99))/100*$F419,$F419/2))</x:f>
      </x:c>
      <x:c r="J419" s="58"/>
      <x:c r="K419" s="58"/>
    </x:row>
    <x:row r="420">
      <x:c r="A420" s="58" t="str">
        <x:f>IF(B420="","",ROW()-1)</x:f>
      </x:c>
      <x:c r="B420" s="89"/>
      <x:c r="C420" s="58"/>
      <x:c r="D420" s="58"/>
      <x:c r="E420" s="58"/>
      <x:c r="F420" s="91"/>
      <x:c r="G420" s="91"/>
      <x:c r="H420" s="91" t="str">
        <x:f>IF($F420="","",IFERROR(VALUE(LEFT($G420,FIND("/",$G420)-1))/100*$F420,$F420/2))</x:f>
      </x:c>
      <x:c r="I420" s="91" t="str">
        <x:f>IF($F420="","",IFERROR(VALUE(MID($G420,FIND("/",$G420)+1,99))/100*$F420,$F420/2))</x:f>
      </x:c>
      <x:c r="J420" s="58"/>
      <x:c r="K420" s="58"/>
    </x:row>
    <x:row r="421">
      <x:c r="A421" s="58" t="str">
        <x:f>IF(B421="","",ROW()-1)</x:f>
      </x:c>
      <x:c r="B421" s="89"/>
      <x:c r="C421" s="58"/>
      <x:c r="D421" s="58"/>
      <x:c r="E421" s="58"/>
      <x:c r="F421" s="91"/>
      <x:c r="G421" s="91"/>
      <x:c r="H421" s="91" t="str">
        <x:f>IF($F421="","",IFERROR(VALUE(LEFT($G421,FIND("/",$G421)-1))/100*$F421,$F421/2))</x:f>
      </x:c>
      <x:c r="I421" s="91" t="str">
        <x:f>IF($F421="","",IFERROR(VALUE(MID($G421,FIND("/",$G421)+1,99))/100*$F421,$F421/2))</x:f>
      </x:c>
      <x:c r="J421" s="58"/>
      <x:c r="K421" s="58"/>
    </x:row>
    <x:row r="422">
      <x:c r="A422" s="58" t="str">
        <x:f>IF(B422="","",ROW()-1)</x:f>
      </x:c>
      <x:c r="B422" s="89"/>
      <x:c r="C422" s="58"/>
      <x:c r="D422" s="58"/>
      <x:c r="E422" s="58"/>
      <x:c r="F422" s="91"/>
      <x:c r="G422" s="91"/>
      <x:c r="H422" s="91" t="str">
        <x:f>IF($F422="","",IFERROR(VALUE(LEFT($G422,FIND("/",$G422)-1))/100*$F422,$F422/2))</x:f>
      </x:c>
      <x:c r="I422" s="91" t="str">
        <x:f>IF($F422="","",IFERROR(VALUE(MID($G422,FIND("/",$G422)+1,99))/100*$F422,$F422/2))</x:f>
      </x:c>
      <x:c r="J422" s="58"/>
      <x:c r="K422" s="58"/>
    </x:row>
    <x:row r="423">
      <x:c r="A423" s="58" t="str">
        <x:f>IF(B423="","",ROW()-1)</x:f>
      </x:c>
      <x:c r="B423" s="89"/>
      <x:c r="C423" s="58"/>
      <x:c r="D423" s="58"/>
      <x:c r="E423" s="58"/>
      <x:c r="F423" s="91"/>
      <x:c r="G423" s="91"/>
      <x:c r="H423" s="91" t="str">
        <x:f>IF($F423="","",IFERROR(VALUE(LEFT($G423,FIND("/",$G423)-1))/100*$F423,$F423/2))</x:f>
      </x:c>
      <x:c r="I423" s="91" t="str">
        <x:f>IF($F423="","",IFERROR(VALUE(MID($G423,FIND("/",$G423)+1,99))/100*$F423,$F423/2))</x:f>
      </x:c>
      <x:c r="J423" s="58"/>
      <x:c r="K423" s="58"/>
    </x:row>
    <x:row r="424">
      <x:c r="A424" s="58" t="str">
        <x:f>IF(B424="","",ROW()-1)</x:f>
      </x:c>
      <x:c r="B424" s="89"/>
      <x:c r="C424" s="58"/>
      <x:c r="D424" s="58"/>
      <x:c r="E424" s="58"/>
      <x:c r="F424" s="91"/>
      <x:c r="G424" s="91"/>
      <x:c r="H424" s="91" t="str">
        <x:f>IF($F424="","",IFERROR(VALUE(LEFT($G424,FIND("/",$G424)-1))/100*$F424,$F424/2))</x:f>
      </x:c>
      <x:c r="I424" s="91" t="str">
        <x:f>IF($F424="","",IFERROR(VALUE(MID($G424,FIND("/",$G424)+1,99))/100*$F424,$F424/2))</x:f>
      </x:c>
      <x:c r="J424" s="58"/>
      <x:c r="K424" s="58"/>
    </x:row>
    <x:row r="425">
      <x:c r="A425" s="58" t="str">
        <x:f>IF(B425="","",ROW()-1)</x:f>
      </x:c>
      <x:c r="B425" s="89"/>
      <x:c r="C425" s="58"/>
      <x:c r="D425" s="58"/>
      <x:c r="E425" s="58"/>
      <x:c r="F425" s="91"/>
      <x:c r="G425" s="91"/>
      <x:c r="H425" s="91" t="str">
        <x:f>IF($F425="","",IFERROR(VALUE(LEFT($G425,FIND("/",$G425)-1))/100*$F425,$F425/2))</x:f>
      </x:c>
      <x:c r="I425" s="91" t="str">
        <x:f>IF($F425="","",IFERROR(VALUE(MID($G425,FIND("/",$G425)+1,99))/100*$F425,$F425/2))</x:f>
      </x:c>
      <x:c r="J425" s="58"/>
      <x:c r="K425" s="58"/>
    </x:row>
    <x:row r="426">
      <x:c r="A426" s="58" t="str">
        <x:f>IF(B426="","",ROW()-1)</x:f>
      </x:c>
      <x:c r="B426" s="89"/>
      <x:c r="C426" s="58"/>
      <x:c r="D426" s="58"/>
      <x:c r="E426" s="58"/>
      <x:c r="F426" s="91"/>
      <x:c r="G426" s="91"/>
      <x:c r="H426" s="91" t="str">
        <x:f>IF($F426="","",IFERROR(VALUE(LEFT($G426,FIND("/",$G426)-1))/100*$F426,$F426/2))</x:f>
      </x:c>
      <x:c r="I426" s="91" t="str">
        <x:f>IF($F426="","",IFERROR(VALUE(MID($G426,FIND("/",$G426)+1,99))/100*$F426,$F426/2))</x:f>
      </x:c>
      <x:c r="J426" s="58"/>
      <x:c r="K426" s="58"/>
    </x:row>
    <x:row r="427">
      <x:c r="A427" s="58" t="str">
        <x:f>IF(B427="","",ROW()-1)</x:f>
      </x:c>
      <x:c r="B427" s="89"/>
      <x:c r="C427" s="58"/>
      <x:c r="D427" s="58"/>
      <x:c r="E427" s="58"/>
      <x:c r="F427" s="91"/>
      <x:c r="G427" s="91"/>
      <x:c r="H427" s="91" t="str">
        <x:f>IF($F427="","",IFERROR(VALUE(LEFT($G427,FIND("/",$G427)-1))/100*$F427,$F427/2))</x:f>
      </x:c>
      <x:c r="I427" s="91" t="str">
        <x:f>IF($F427="","",IFERROR(VALUE(MID($G427,FIND("/",$G427)+1,99))/100*$F427,$F427/2))</x:f>
      </x:c>
      <x:c r="J427" s="58"/>
      <x:c r="K427" s="58"/>
    </x:row>
    <x:row r="428">
      <x:c r="A428" s="58" t="str">
        <x:f>IF(B428="","",ROW()-1)</x:f>
      </x:c>
      <x:c r="B428" s="89"/>
      <x:c r="C428" s="58"/>
      <x:c r="D428" s="58"/>
      <x:c r="E428" s="58"/>
      <x:c r="F428" s="91"/>
      <x:c r="G428" s="91"/>
      <x:c r="H428" s="91" t="str">
        <x:f>IF($F428="","",IFERROR(VALUE(LEFT($G428,FIND("/",$G428)-1))/100*$F428,$F428/2))</x:f>
      </x:c>
      <x:c r="I428" s="91" t="str">
        <x:f>IF($F428="","",IFERROR(VALUE(MID($G428,FIND("/",$G428)+1,99))/100*$F428,$F428/2))</x:f>
      </x:c>
      <x:c r="J428" s="58"/>
      <x:c r="K428" s="58"/>
    </x:row>
    <x:row r="429">
      <x:c r="A429" s="58" t="str">
        <x:f>IF(B429="","",ROW()-1)</x:f>
      </x:c>
      <x:c r="B429" s="89"/>
      <x:c r="C429" s="58"/>
      <x:c r="D429" s="58"/>
      <x:c r="E429" s="58"/>
      <x:c r="F429" s="91"/>
      <x:c r="G429" s="91"/>
      <x:c r="H429" s="91" t="str">
        <x:f>IF($F429="","",IFERROR(VALUE(LEFT($G429,FIND("/",$G429)-1))/100*$F429,$F429/2))</x:f>
      </x:c>
      <x:c r="I429" s="91" t="str">
        <x:f>IF($F429="","",IFERROR(VALUE(MID($G429,FIND("/",$G429)+1,99))/100*$F429,$F429/2))</x:f>
      </x:c>
      <x:c r="J429" s="58"/>
      <x:c r="K429" s="58"/>
    </x:row>
    <x:row r="430">
      <x:c r="A430" s="58" t="str">
        <x:f>IF(B430="","",ROW()-1)</x:f>
      </x:c>
      <x:c r="B430" s="89"/>
      <x:c r="C430" s="58"/>
      <x:c r="D430" s="58"/>
      <x:c r="E430" s="58"/>
      <x:c r="F430" s="91"/>
      <x:c r="G430" s="91"/>
      <x:c r="H430" s="91" t="str">
        <x:f>IF($F430="","",IFERROR(VALUE(LEFT($G430,FIND("/",$G430)-1))/100*$F430,$F430/2))</x:f>
      </x:c>
      <x:c r="I430" s="91" t="str">
        <x:f>IF($F430="","",IFERROR(VALUE(MID($G430,FIND("/",$G430)+1,99))/100*$F430,$F430/2))</x:f>
      </x:c>
      <x:c r="J430" s="58"/>
      <x:c r="K430" s="58"/>
    </x:row>
    <x:row r="431">
      <x:c r="A431" s="58" t="str">
        <x:f>IF(B431="","",ROW()-1)</x:f>
      </x:c>
      <x:c r="B431" s="89"/>
      <x:c r="C431" s="58"/>
      <x:c r="D431" s="58"/>
      <x:c r="E431" s="58"/>
      <x:c r="F431" s="91"/>
      <x:c r="G431" s="91"/>
      <x:c r="H431" s="91" t="str">
        <x:f>IF($F431="","",IFERROR(VALUE(LEFT($G431,FIND("/",$G431)-1))/100*$F431,$F431/2))</x:f>
      </x:c>
      <x:c r="I431" s="91" t="str">
        <x:f>IF($F431="","",IFERROR(VALUE(MID($G431,FIND("/",$G431)+1,99))/100*$F431,$F431/2))</x:f>
      </x:c>
      <x:c r="J431" s="58"/>
      <x:c r="K431" s="58"/>
    </x:row>
    <x:row r="432">
      <x:c r="A432" s="58" t="str">
        <x:f>IF(B432="","",ROW()-1)</x:f>
      </x:c>
      <x:c r="B432" s="89"/>
      <x:c r="C432" s="58"/>
      <x:c r="D432" s="58"/>
      <x:c r="E432" s="58"/>
      <x:c r="F432" s="91"/>
      <x:c r="G432" s="91"/>
      <x:c r="H432" s="91" t="str">
        <x:f>IF($F432="","",IFERROR(VALUE(LEFT($G432,FIND("/",$G432)-1))/100*$F432,$F432/2))</x:f>
      </x:c>
      <x:c r="I432" s="91" t="str">
        <x:f>IF($F432="","",IFERROR(VALUE(MID($G432,FIND("/",$G432)+1,99))/100*$F432,$F432/2))</x:f>
      </x:c>
      <x:c r="J432" s="58"/>
      <x:c r="K432" s="58"/>
    </x:row>
    <x:row r="433">
      <x:c r="A433" s="58" t="str">
        <x:f>IF(B433="","",ROW()-1)</x:f>
      </x:c>
      <x:c r="B433" s="89"/>
      <x:c r="C433" s="58"/>
      <x:c r="D433" s="58"/>
      <x:c r="E433" s="58"/>
      <x:c r="F433" s="91"/>
      <x:c r="G433" s="91"/>
      <x:c r="H433" s="91" t="str">
        <x:f>IF($F433="","",IFERROR(VALUE(LEFT($G433,FIND("/",$G433)-1))/100*$F433,$F433/2))</x:f>
      </x:c>
      <x:c r="I433" s="91" t="str">
        <x:f>IF($F433="","",IFERROR(VALUE(MID($G433,FIND("/",$G433)+1,99))/100*$F433,$F433/2))</x:f>
      </x:c>
      <x:c r="J433" s="58"/>
      <x:c r="K433" s="58"/>
    </x:row>
    <x:row r="434">
      <x:c r="A434" s="58" t="str">
        <x:f>IF(B434="","",ROW()-1)</x:f>
      </x:c>
      <x:c r="B434" s="89"/>
      <x:c r="C434" s="58"/>
      <x:c r="D434" s="58"/>
      <x:c r="E434" s="58"/>
      <x:c r="F434" s="91"/>
      <x:c r="G434" s="91"/>
      <x:c r="H434" s="91" t="str">
        <x:f>IF($F434="","",IFERROR(VALUE(LEFT($G434,FIND("/",$G434)-1))/100*$F434,$F434/2))</x:f>
      </x:c>
      <x:c r="I434" s="91" t="str">
        <x:f>IF($F434="","",IFERROR(VALUE(MID($G434,FIND("/",$G434)+1,99))/100*$F434,$F434/2))</x:f>
      </x:c>
      <x:c r="J434" s="58"/>
      <x:c r="K434" s="58"/>
    </x:row>
    <x:row r="435">
      <x:c r="A435" s="58" t="str">
        <x:f>IF(B435="","",ROW()-1)</x:f>
      </x:c>
      <x:c r="B435" s="89"/>
      <x:c r="C435" s="58"/>
      <x:c r="D435" s="58"/>
      <x:c r="E435" s="58"/>
      <x:c r="F435" s="91"/>
      <x:c r="G435" s="91"/>
      <x:c r="H435" s="91" t="str">
        <x:f>IF($F435="","",IFERROR(VALUE(LEFT($G435,FIND("/",$G435)-1))/100*$F435,$F435/2))</x:f>
      </x:c>
      <x:c r="I435" s="91" t="str">
        <x:f>IF($F435="","",IFERROR(VALUE(MID($G435,FIND("/",$G435)+1,99))/100*$F435,$F435/2))</x:f>
      </x:c>
      <x:c r="J435" s="58"/>
      <x:c r="K435" s="58"/>
    </x:row>
    <x:row r="436">
      <x:c r="A436" s="58" t="str">
        <x:f>IF(B436="","",ROW()-1)</x:f>
      </x:c>
      <x:c r="B436" s="89"/>
      <x:c r="C436" s="58"/>
      <x:c r="D436" s="58"/>
      <x:c r="E436" s="58"/>
      <x:c r="F436" s="91"/>
      <x:c r="G436" s="91"/>
      <x:c r="H436" s="91" t="str">
        <x:f>IF($F436="","",IFERROR(VALUE(LEFT($G436,FIND("/",$G436)-1))/100*$F436,$F436/2))</x:f>
      </x:c>
      <x:c r="I436" s="91" t="str">
        <x:f>IF($F436="","",IFERROR(VALUE(MID($G436,FIND("/",$G436)+1,99))/100*$F436,$F436/2))</x:f>
      </x:c>
      <x:c r="J436" s="58"/>
      <x:c r="K436" s="58"/>
    </x:row>
    <x:row r="437">
      <x:c r="A437" s="58" t="str">
        <x:f>IF(B437="","",ROW()-1)</x:f>
      </x:c>
      <x:c r="B437" s="89"/>
      <x:c r="C437" s="58"/>
      <x:c r="D437" s="58"/>
      <x:c r="E437" s="58"/>
      <x:c r="F437" s="91"/>
      <x:c r="G437" s="91"/>
      <x:c r="H437" s="91" t="str">
        <x:f>IF($F437="","",IFERROR(VALUE(LEFT($G437,FIND("/",$G437)-1))/100*$F437,$F437/2))</x:f>
      </x:c>
      <x:c r="I437" s="91" t="str">
        <x:f>IF($F437="","",IFERROR(VALUE(MID($G437,FIND("/",$G437)+1,99))/100*$F437,$F437/2))</x:f>
      </x:c>
      <x:c r="J437" s="58"/>
      <x:c r="K437" s="58"/>
    </x:row>
    <x:row r="438">
      <x:c r="A438" s="58" t="str">
        <x:f>IF(B438="","",ROW()-1)</x:f>
      </x:c>
      <x:c r="B438" s="89"/>
      <x:c r="C438" s="58"/>
      <x:c r="D438" s="58"/>
      <x:c r="E438" s="58"/>
      <x:c r="F438" s="91"/>
      <x:c r="G438" s="91"/>
      <x:c r="H438" s="91" t="str">
        <x:f>IF($F438="","",IFERROR(VALUE(LEFT($G438,FIND("/",$G438)-1))/100*$F438,$F438/2))</x:f>
      </x:c>
      <x:c r="I438" s="91" t="str">
        <x:f>IF($F438="","",IFERROR(VALUE(MID($G438,FIND("/",$G438)+1,99))/100*$F438,$F438/2))</x:f>
      </x:c>
      <x:c r="J438" s="58"/>
      <x:c r="K438" s="58"/>
    </x:row>
    <x:row r="439">
      <x:c r="A439" s="58" t="str">
        <x:f>IF(B439="","",ROW()-1)</x:f>
      </x:c>
      <x:c r="B439" s="89"/>
      <x:c r="C439" s="58"/>
      <x:c r="D439" s="58"/>
      <x:c r="E439" s="58"/>
      <x:c r="F439" s="91"/>
      <x:c r="G439" s="91"/>
      <x:c r="H439" s="91" t="str">
        <x:f>IF($F439="","",IFERROR(VALUE(LEFT($G439,FIND("/",$G439)-1))/100*$F439,$F439/2))</x:f>
      </x:c>
      <x:c r="I439" s="91" t="str">
        <x:f>IF($F439="","",IFERROR(VALUE(MID($G439,FIND("/",$G439)+1,99))/100*$F439,$F439/2))</x:f>
      </x:c>
      <x:c r="J439" s="58"/>
      <x:c r="K439" s="58"/>
    </x:row>
    <x:row r="440">
      <x:c r="A440" s="58" t="str">
        <x:f>IF(B440="","",ROW()-1)</x:f>
      </x:c>
      <x:c r="B440" s="89"/>
      <x:c r="C440" s="58"/>
      <x:c r="D440" s="58"/>
      <x:c r="E440" s="58"/>
      <x:c r="F440" s="91"/>
      <x:c r="G440" s="91"/>
      <x:c r="H440" s="91" t="str">
        <x:f>IF($F440="","",IFERROR(VALUE(LEFT($G440,FIND("/",$G440)-1))/100*$F440,$F440/2))</x:f>
      </x:c>
      <x:c r="I440" s="91" t="str">
        <x:f>IF($F440="","",IFERROR(VALUE(MID($G440,FIND("/",$G440)+1,99))/100*$F440,$F440/2))</x:f>
      </x:c>
      <x:c r="J440" s="58"/>
      <x:c r="K440" s="58"/>
    </x:row>
    <x:row r="441">
      <x:c r="A441" s="58" t="str">
        <x:f>IF(B441="","",ROW()-1)</x:f>
      </x:c>
      <x:c r="B441" s="89"/>
      <x:c r="C441" s="58"/>
      <x:c r="D441" s="58"/>
      <x:c r="E441" s="58"/>
      <x:c r="F441" s="91"/>
      <x:c r="G441" s="91"/>
      <x:c r="H441" s="91" t="str">
        <x:f>IF($F441="","",IFERROR(VALUE(LEFT($G441,FIND("/",$G441)-1))/100*$F441,$F441/2))</x:f>
      </x:c>
      <x:c r="I441" s="91" t="str">
        <x:f>IF($F441="","",IFERROR(VALUE(MID($G441,FIND("/",$G441)+1,99))/100*$F441,$F441/2))</x:f>
      </x:c>
      <x:c r="J441" s="58"/>
      <x:c r="K441" s="58"/>
    </x:row>
    <x:row r="442">
      <x:c r="A442" s="58" t="str">
        <x:f>IF(B442="","",ROW()-1)</x:f>
      </x:c>
      <x:c r="B442" s="89"/>
      <x:c r="C442" s="58"/>
      <x:c r="D442" s="58"/>
      <x:c r="E442" s="58"/>
      <x:c r="F442" s="91"/>
      <x:c r="G442" s="91"/>
      <x:c r="H442" s="91" t="str">
        <x:f>IF($F442="","",IFERROR(VALUE(LEFT($G442,FIND("/",$G442)-1))/100*$F442,$F442/2))</x:f>
      </x:c>
      <x:c r="I442" s="91" t="str">
        <x:f>IF($F442="","",IFERROR(VALUE(MID($G442,FIND("/",$G442)+1,99))/100*$F442,$F442/2))</x:f>
      </x:c>
      <x:c r="J442" s="58"/>
      <x:c r="K442" s="58"/>
    </x:row>
    <x:row r="443">
      <x:c r="A443" s="58" t="str">
        <x:f>IF(B443="","",ROW()-1)</x:f>
      </x:c>
      <x:c r="B443" s="89"/>
      <x:c r="C443" s="58"/>
      <x:c r="D443" s="58"/>
      <x:c r="E443" s="58"/>
      <x:c r="F443" s="91"/>
      <x:c r="G443" s="91"/>
      <x:c r="H443" s="91" t="str">
        <x:f>IF($F443="","",IFERROR(VALUE(LEFT($G443,FIND("/",$G443)-1))/100*$F443,$F443/2))</x:f>
      </x:c>
      <x:c r="I443" s="91" t="str">
        <x:f>IF($F443="","",IFERROR(VALUE(MID($G443,FIND("/",$G443)+1,99))/100*$F443,$F443/2))</x:f>
      </x:c>
      <x:c r="J443" s="58"/>
      <x:c r="K443" s="58"/>
    </x:row>
    <x:row r="444">
      <x:c r="A444" s="58" t="str">
        <x:f>IF(B444="","",ROW()-1)</x:f>
      </x:c>
      <x:c r="B444" s="89"/>
      <x:c r="C444" s="58"/>
      <x:c r="D444" s="58"/>
      <x:c r="E444" s="58"/>
      <x:c r="F444" s="91"/>
      <x:c r="G444" s="91"/>
      <x:c r="H444" s="91" t="str">
        <x:f>IF($F444="","",IFERROR(VALUE(LEFT($G444,FIND("/",$G444)-1))/100*$F444,$F444/2))</x:f>
      </x:c>
      <x:c r="I444" s="91" t="str">
        <x:f>IF($F444="","",IFERROR(VALUE(MID($G444,FIND("/",$G444)+1,99))/100*$F444,$F444/2))</x:f>
      </x:c>
      <x:c r="J444" s="58"/>
      <x:c r="K444" s="58"/>
    </x:row>
    <x:row r="445">
      <x:c r="A445" s="58" t="str">
        <x:f>IF(B445="","",ROW()-1)</x:f>
      </x:c>
      <x:c r="B445" s="89"/>
      <x:c r="C445" s="58"/>
      <x:c r="D445" s="58"/>
      <x:c r="E445" s="58"/>
      <x:c r="F445" s="91"/>
      <x:c r="G445" s="91"/>
      <x:c r="H445" s="91" t="str">
        <x:f>IF($F445="","",IFERROR(VALUE(LEFT($G445,FIND("/",$G445)-1))/100*$F445,$F445/2))</x:f>
      </x:c>
      <x:c r="I445" s="91" t="str">
        <x:f>IF($F445="","",IFERROR(VALUE(MID($G445,FIND("/",$G445)+1,99))/100*$F445,$F445/2))</x:f>
      </x:c>
      <x:c r="J445" s="58"/>
      <x:c r="K445" s="58"/>
    </x:row>
    <x:row r="446">
      <x:c r="A446" s="58" t="str">
        <x:f>IF(B446="","",ROW()-1)</x:f>
      </x:c>
      <x:c r="B446" s="89"/>
      <x:c r="C446" s="58"/>
      <x:c r="D446" s="58"/>
      <x:c r="E446" s="58"/>
      <x:c r="F446" s="91"/>
      <x:c r="G446" s="91"/>
      <x:c r="H446" s="91" t="str">
        <x:f>IF($F446="","",IFERROR(VALUE(LEFT($G446,FIND("/",$G446)-1))/100*$F446,$F446/2))</x:f>
      </x:c>
      <x:c r="I446" s="91" t="str">
        <x:f>IF($F446="","",IFERROR(VALUE(MID($G446,FIND("/",$G446)+1,99))/100*$F446,$F446/2))</x:f>
      </x:c>
      <x:c r="J446" s="58"/>
      <x:c r="K446" s="58"/>
    </x:row>
    <x:row r="447">
      <x:c r="A447" s="58" t="str">
        <x:f>IF(B447="","",ROW()-1)</x:f>
      </x:c>
      <x:c r="B447" s="89"/>
      <x:c r="C447" s="58"/>
      <x:c r="D447" s="58"/>
      <x:c r="E447" s="58"/>
      <x:c r="F447" s="91"/>
      <x:c r="G447" s="91"/>
      <x:c r="H447" s="91" t="str">
        <x:f>IF($F447="","",IFERROR(VALUE(LEFT($G447,FIND("/",$G447)-1))/100*$F447,$F447/2))</x:f>
      </x:c>
      <x:c r="I447" s="91" t="str">
        <x:f>IF($F447="","",IFERROR(VALUE(MID($G447,FIND("/",$G447)+1,99))/100*$F447,$F447/2))</x:f>
      </x:c>
      <x:c r="J447" s="58"/>
      <x:c r="K447" s="58"/>
    </x:row>
    <x:row r="448">
      <x:c r="A448" s="58" t="str">
        <x:f>IF(B448="","",ROW()-1)</x:f>
      </x:c>
      <x:c r="B448" s="89"/>
      <x:c r="C448" s="58"/>
      <x:c r="D448" s="58"/>
      <x:c r="E448" s="58"/>
      <x:c r="F448" s="91"/>
      <x:c r="G448" s="91"/>
      <x:c r="H448" s="91" t="str">
        <x:f>IF($F448="","",IFERROR(VALUE(LEFT($G448,FIND("/",$G448)-1))/100*$F448,$F448/2))</x:f>
      </x:c>
      <x:c r="I448" s="91" t="str">
        <x:f>IF($F448="","",IFERROR(VALUE(MID($G448,FIND("/",$G448)+1,99))/100*$F448,$F448/2))</x:f>
      </x:c>
      <x:c r="J448" s="58"/>
      <x:c r="K448" s="58"/>
    </x:row>
    <x:row r="449">
      <x:c r="A449" s="58" t="str">
        <x:f>IF(B449="","",ROW()-1)</x:f>
      </x:c>
      <x:c r="B449" s="89"/>
      <x:c r="C449" s="58"/>
      <x:c r="D449" s="58"/>
      <x:c r="E449" s="58"/>
      <x:c r="F449" s="91"/>
      <x:c r="G449" s="91"/>
      <x:c r="H449" s="91" t="str">
        <x:f>IF($F449="","",IFERROR(VALUE(LEFT($G449,FIND("/",$G449)-1))/100*$F449,$F449/2))</x:f>
      </x:c>
      <x:c r="I449" s="91" t="str">
        <x:f>IF($F449="","",IFERROR(VALUE(MID($G449,FIND("/",$G449)+1,99))/100*$F449,$F449/2))</x:f>
      </x:c>
      <x:c r="J449" s="58"/>
      <x:c r="K449" s="58"/>
    </x:row>
    <x:row r="450">
      <x:c r="A450" s="58" t="str">
        <x:f>IF(B450="","",ROW()-1)</x:f>
      </x:c>
      <x:c r="B450" s="89"/>
      <x:c r="C450" s="58"/>
      <x:c r="D450" s="58"/>
      <x:c r="E450" s="58"/>
      <x:c r="F450" s="91"/>
      <x:c r="G450" s="91"/>
      <x:c r="H450" s="91" t="str">
        <x:f>IF($F450="","",IFERROR(VALUE(LEFT($G450,FIND("/",$G450)-1))/100*$F450,$F450/2))</x:f>
      </x:c>
      <x:c r="I450" s="91" t="str">
        <x:f>IF($F450="","",IFERROR(VALUE(MID($G450,FIND("/",$G450)+1,99))/100*$F450,$F450/2))</x:f>
      </x:c>
      <x:c r="J450" s="58"/>
      <x:c r="K450" s="58"/>
    </x:row>
    <x:row r="451">
      <x:c r="A451" s="58" t="str">
        <x:f>IF(B451="","",ROW()-1)</x:f>
      </x:c>
      <x:c r="B451" s="89"/>
      <x:c r="C451" s="58"/>
      <x:c r="D451" s="58"/>
      <x:c r="E451" s="58"/>
      <x:c r="F451" s="91"/>
      <x:c r="G451" s="91"/>
      <x:c r="H451" s="91" t="str">
        <x:f>IF($F451="","",IFERROR(VALUE(LEFT($G451,FIND("/",$G451)-1))/100*$F451,$F451/2))</x:f>
      </x:c>
      <x:c r="I451" s="91" t="str">
        <x:f>IF($F451="","",IFERROR(VALUE(MID($G451,FIND("/",$G451)+1,99))/100*$F451,$F451/2))</x:f>
      </x:c>
      <x:c r="J451" s="58"/>
      <x:c r="K451" s="58"/>
    </x:row>
    <x:row r="452">
      <x:c r="A452" s="58" t="str">
        <x:f>IF(B452="","",ROW()-1)</x:f>
      </x:c>
      <x:c r="B452" s="89"/>
      <x:c r="C452" s="58"/>
      <x:c r="D452" s="58"/>
      <x:c r="E452" s="58"/>
      <x:c r="F452" s="91"/>
      <x:c r="G452" s="91"/>
      <x:c r="H452" s="91" t="str">
        <x:f>IF($F452="","",IFERROR(VALUE(LEFT($G452,FIND("/",$G452)-1))/100*$F452,$F452/2))</x:f>
      </x:c>
      <x:c r="I452" s="91" t="str">
        <x:f>IF($F452="","",IFERROR(VALUE(MID($G452,FIND("/",$G452)+1,99))/100*$F452,$F452/2))</x:f>
      </x:c>
      <x:c r="J452" s="58"/>
      <x:c r="K452" s="58"/>
    </x:row>
    <x:row r="453">
      <x:c r="A453" s="58" t="str">
        <x:f>IF(B453="","",ROW()-1)</x:f>
      </x:c>
      <x:c r="B453" s="89"/>
      <x:c r="C453" s="58"/>
      <x:c r="D453" s="58"/>
      <x:c r="E453" s="58"/>
      <x:c r="F453" s="91"/>
      <x:c r="G453" s="91"/>
      <x:c r="H453" s="91" t="str">
        <x:f>IF($F453="","",IFERROR(VALUE(LEFT($G453,FIND("/",$G453)-1))/100*$F453,$F453/2))</x:f>
      </x:c>
      <x:c r="I453" s="91" t="str">
        <x:f>IF($F453="","",IFERROR(VALUE(MID($G453,FIND("/",$G453)+1,99))/100*$F453,$F453/2))</x:f>
      </x:c>
      <x:c r="J453" s="58"/>
      <x:c r="K453" s="58"/>
    </x:row>
    <x:row r="454">
      <x:c r="A454" s="58" t="str">
        <x:f>IF(B454="","",ROW()-1)</x:f>
      </x:c>
      <x:c r="B454" s="89"/>
      <x:c r="C454" s="58"/>
      <x:c r="D454" s="58"/>
      <x:c r="E454" s="58"/>
      <x:c r="F454" s="91"/>
      <x:c r="G454" s="91"/>
      <x:c r="H454" s="91" t="str">
        <x:f>IF($F454="","",IFERROR(VALUE(LEFT($G454,FIND("/",$G454)-1))/100*$F454,$F454/2))</x:f>
      </x:c>
      <x:c r="I454" s="91" t="str">
        <x:f>IF($F454="","",IFERROR(VALUE(MID($G454,FIND("/",$G454)+1,99))/100*$F454,$F454/2))</x:f>
      </x:c>
      <x:c r="J454" s="58"/>
      <x:c r="K454" s="58"/>
    </x:row>
    <x:row r="455">
      <x:c r="A455" s="58" t="str">
        <x:f>IF(B455="","",ROW()-1)</x:f>
      </x:c>
      <x:c r="B455" s="89"/>
      <x:c r="C455" s="58"/>
      <x:c r="D455" s="58"/>
      <x:c r="E455" s="58"/>
      <x:c r="F455" s="91"/>
      <x:c r="G455" s="91"/>
      <x:c r="H455" s="91" t="str">
        <x:f>IF($F455="","",IFERROR(VALUE(LEFT($G455,FIND("/",$G455)-1))/100*$F455,$F455/2))</x:f>
      </x:c>
      <x:c r="I455" s="91" t="str">
        <x:f>IF($F455="","",IFERROR(VALUE(MID($G455,FIND("/",$G455)+1,99))/100*$F455,$F455/2))</x:f>
      </x:c>
      <x:c r="J455" s="58"/>
      <x:c r="K455" s="58"/>
    </x:row>
    <x:row r="456">
      <x:c r="A456" s="58" t="str">
        <x:f>IF(B456="","",ROW()-1)</x:f>
      </x:c>
      <x:c r="B456" s="89"/>
      <x:c r="C456" s="58"/>
      <x:c r="D456" s="58"/>
      <x:c r="E456" s="58"/>
      <x:c r="F456" s="91"/>
      <x:c r="G456" s="91"/>
      <x:c r="H456" s="91" t="str">
        <x:f>IF($F456="","",IFERROR(VALUE(LEFT($G456,FIND("/",$G456)-1))/100*$F456,$F456/2))</x:f>
      </x:c>
      <x:c r="I456" s="91" t="str">
        <x:f>IF($F456="","",IFERROR(VALUE(MID($G456,FIND("/",$G456)+1,99))/100*$F456,$F456/2))</x:f>
      </x:c>
      <x:c r="J456" s="58"/>
      <x:c r="K456" s="58"/>
    </x:row>
    <x:row r="457">
      <x:c r="A457" s="58" t="str">
        <x:f>IF(B457="","",ROW()-1)</x:f>
      </x:c>
      <x:c r="B457" s="89"/>
      <x:c r="C457" s="58"/>
      <x:c r="D457" s="58"/>
      <x:c r="E457" s="58"/>
      <x:c r="F457" s="91"/>
      <x:c r="G457" s="91"/>
      <x:c r="H457" s="91" t="str">
        <x:f>IF($F457="","",IFERROR(VALUE(LEFT($G457,FIND("/",$G457)-1))/100*$F457,$F457/2))</x:f>
      </x:c>
      <x:c r="I457" s="91" t="str">
        <x:f>IF($F457="","",IFERROR(VALUE(MID($G457,FIND("/",$G457)+1,99))/100*$F457,$F457/2))</x:f>
      </x:c>
      <x:c r="J457" s="58"/>
      <x:c r="K457" s="58"/>
    </x:row>
    <x:row r="458">
      <x:c r="A458" s="58" t="str">
        <x:f>IF(B458="","",ROW()-1)</x:f>
      </x:c>
      <x:c r="B458" s="89"/>
      <x:c r="C458" s="58"/>
      <x:c r="D458" s="58"/>
      <x:c r="E458" s="58"/>
      <x:c r="F458" s="91"/>
      <x:c r="G458" s="91"/>
      <x:c r="H458" s="91" t="str">
        <x:f>IF($F458="","",IFERROR(VALUE(LEFT($G458,FIND("/",$G458)-1))/100*$F458,$F458/2))</x:f>
      </x:c>
      <x:c r="I458" s="91" t="str">
        <x:f>IF($F458="","",IFERROR(VALUE(MID($G458,FIND("/",$G458)+1,99))/100*$F458,$F458/2))</x:f>
      </x:c>
      <x:c r="J458" s="58"/>
      <x:c r="K458" s="58"/>
    </x:row>
    <x:row r="459">
      <x:c r="A459" s="58" t="str">
        <x:f>IF(B459="","",ROW()-1)</x:f>
      </x:c>
      <x:c r="B459" s="89"/>
      <x:c r="C459" s="58"/>
      <x:c r="D459" s="58"/>
      <x:c r="E459" s="58"/>
      <x:c r="F459" s="91"/>
      <x:c r="G459" s="91"/>
      <x:c r="H459" s="91" t="str">
        <x:f>IF($F459="","",IFERROR(VALUE(LEFT($G459,FIND("/",$G459)-1))/100*$F459,$F459/2))</x:f>
      </x:c>
      <x:c r="I459" s="91" t="str">
        <x:f>IF($F459="","",IFERROR(VALUE(MID($G459,FIND("/",$G459)+1,99))/100*$F459,$F459/2))</x:f>
      </x:c>
      <x:c r="J459" s="58"/>
      <x:c r="K459" s="58"/>
    </x:row>
    <x:row r="460">
      <x:c r="A460" s="58" t="str">
        <x:f>IF(B460="","",ROW()-1)</x:f>
      </x:c>
      <x:c r="B460" s="89"/>
      <x:c r="C460" s="58"/>
      <x:c r="D460" s="58"/>
      <x:c r="E460" s="58"/>
      <x:c r="F460" s="91"/>
      <x:c r="G460" s="91"/>
      <x:c r="H460" s="91" t="str">
        <x:f>IF($F460="","",IFERROR(VALUE(LEFT($G460,FIND("/",$G460)-1))/100*$F460,$F460/2))</x:f>
      </x:c>
      <x:c r="I460" s="91" t="str">
        <x:f>IF($F460="","",IFERROR(VALUE(MID($G460,FIND("/",$G460)+1,99))/100*$F460,$F460/2))</x:f>
      </x:c>
      <x:c r="J460" s="58"/>
      <x:c r="K460" s="58"/>
    </x:row>
    <x:row r="461">
      <x:c r="A461" s="58" t="str">
        <x:f>IF(B461="","",ROW()-1)</x:f>
      </x:c>
      <x:c r="B461" s="89"/>
      <x:c r="C461" s="58"/>
      <x:c r="D461" s="58"/>
      <x:c r="E461" s="58"/>
      <x:c r="F461" s="91"/>
      <x:c r="G461" s="91"/>
      <x:c r="H461" s="91" t="str">
        <x:f>IF($F461="","",IFERROR(VALUE(LEFT($G461,FIND("/",$G461)-1))/100*$F461,$F461/2))</x:f>
      </x:c>
      <x:c r="I461" s="91" t="str">
        <x:f>IF($F461="","",IFERROR(VALUE(MID($G461,FIND("/",$G461)+1,99))/100*$F461,$F461/2))</x:f>
      </x:c>
      <x:c r="J461" s="58"/>
      <x:c r="K461" s="58"/>
    </x:row>
    <x:row r="462">
      <x:c r="A462" s="58" t="str">
        <x:f>IF(B462="","",ROW()-1)</x:f>
      </x:c>
      <x:c r="B462" s="89"/>
      <x:c r="C462" s="58"/>
      <x:c r="D462" s="58"/>
      <x:c r="E462" s="58"/>
      <x:c r="F462" s="91"/>
      <x:c r="G462" s="91"/>
      <x:c r="H462" s="91" t="str">
        <x:f>IF($F462="","",IFERROR(VALUE(LEFT($G462,FIND("/",$G462)-1))/100*$F462,$F462/2))</x:f>
      </x:c>
      <x:c r="I462" s="91" t="str">
        <x:f>IF($F462="","",IFERROR(VALUE(MID($G462,FIND("/",$G462)+1,99))/100*$F462,$F462/2))</x:f>
      </x:c>
      <x:c r="J462" s="58"/>
      <x:c r="K462" s="58"/>
    </x:row>
    <x:row r="463">
      <x:c r="A463" s="58" t="str">
        <x:f>IF(B463="","",ROW()-1)</x:f>
      </x:c>
      <x:c r="B463" s="89"/>
      <x:c r="C463" s="58"/>
      <x:c r="D463" s="58"/>
      <x:c r="E463" s="58"/>
      <x:c r="F463" s="91"/>
      <x:c r="G463" s="91"/>
      <x:c r="H463" s="91" t="str">
        <x:f>IF($F463="","",IFERROR(VALUE(LEFT($G463,FIND("/",$G463)-1))/100*$F463,$F463/2))</x:f>
      </x:c>
      <x:c r="I463" s="91" t="str">
        <x:f>IF($F463="","",IFERROR(VALUE(MID($G463,FIND("/",$G463)+1,99))/100*$F463,$F463/2))</x:f>
      </x:c>
      <x:c r="J463" s="58"/>
      <x:c r="K463" s="58"/>
    </x:row>
    <x:row r="464">
      <x:c r="A464" s="58" t="str">
        <x:f>IF(B464="","",ROW()-1)</x:f>
      </x:c>
      <x:c r="B464" s="89"/>
      <x:c r="C464" s="58"/>
      <x:c r="D464" s="58"/>
      <x:c r="E464" s="58"/>
      <x:c r="F464" s="91"/>
      <x:c r="G464" s="91"/>
      <x:c r="H464" s="91" t="str">
        <x:f>IF($F464="","",IFERROR(VALUE(LEFT($G464,FIND("/",$G464)-1))/100*$F464,$F464/2))</x:f>
      </x:c>
      <x:c r="I464" s="91" t="str">
        <x:f>IF($F464="","",IFERROR(VALUE(MID($G464,FIND("/",$G464)+1,99))/100*$F464,$F464/2))</x:f>
      </x:c>
      <x:c r="J464" s="58"/>
      <x:c r="K464" s="58"/>
    </x:row>
    <x:row r="465">
      <x:c r="A465" s="58" t="str">
        <x:f>IF(B465="","",ROW()-1)</x:f>
      </x:c>
      <x:c r="B465" s="89"/>
      <x:c r="C465" s="58"/>
      <x:c r="D465" s="58"/>
      <x:c r="E465" s="58"/>
      <x:c r="F465" s="91"/>
      <x:c r="G465" s="91"/>
      <x:c r="H465" s="91" t="str">
        <x:f>IF($F465="","",IFERROR(VALUE(LEFT($G465,FIND("/",$G465)-1))/100*$F465,$F465/2))</x:f>
      </x:c>
      <x:c r="I465" s="91" t="str">
        <x:f>IF($F465="","",IFERROR(VALUE(MID($G465,FIND("/",$G465)+1,99))/100*$F465,$F465/2))</x:f>
      </x:c>
      <x:c r="J465" s="58"/>
      <x:c r="K465" s="58"/>
    </x:row>
    <x:row r="466">
      <x:c r="A466" s="58" t="str">
        <x:f>IF(B466="","",ROW()-1)</x:f>
      </x:c>
      <x:c r="B466" s="89"/>
      <x:c r="C466" s="58"/>
      <x:c r="D466" s="58"/>
      <x:c r="E466" s="58"/>
      <x:c r="F466" s="91"/>
      <x:c r="G466" s="91"/>
      <x:c r="H466" s="91" t="str">
        <x:f>IF($F466="","",IFERROR(VALUE(LEFT($G466,FIND("/",$G466)-1))/100*$F466,$F466/2))</x:f>
      </x:c>
      <x:c r="I466" s="91" t="str">
        <x:f>IF($F466="","",IFERROR(VALUE(MID($G466,FIND("/",$G466)+1,99))/100*$F466,$F466/2))</x:f>
      </x:c>
      <x:c r="J466" s="58"/>
      <x:c r="K466" s="58"/>
    </x:row>
    <x:row r="467">
      <x:c r="A467" s="58" t="str">
        <x:f>IF(B467="","",ROW()-1)</x:f>
      </x:c>
      <x:c r="B467" s="89"/>
      <x:c r="C467" s="58"/>
      <x:c r="D467" s="58"/>
      <x:c r="E467" s="58"/>
      <x:c r="F467" s="91"/>
      <x:c r="G467" s="91"/>
      <x:c r="H467" s="91" t="str">
        <x:f>IF($F467="","",IFERROR(VALUE(LEFT($G467,FIND("/",$G467)-1))/100*$F467,$F467/2))</x:f>
      </x:c>
      <x:c r="I467" s="91" t="str">
        <x:f>IF($F467="","",IFERROR(VALUE(MID($G467,FIND("/",$G467)+1,99))/100*$F467,$F467/2))</x:f>
      </x:c>
      <x:c r="J467" s="58"/>
      <x:c r="K467" s="58"/>
    </x:row>
    <x:row r="468">
      <x:c r="A468" s="58" t="str">
        <x:f>IF(B468="","",ROW()-1)</x:f>
      </x:c>
      <x:c r="B468" s="89"/>
      <x:c r="C468" s="58"/>
      <x:c r="D468" s="58"/>
      <x:c r="E468" s="58"/>
      <x:c r="F468" s="91"/>
      <x:c r="G468" s="91"/>
      <x:c r="H468" s="91" t="str">
        <x:f>IF($F468="","",IFERROR(VALUE(LEFT($G468,FIND("/",$G468)-1))/100*$F468,$F468/2))</x:f>
      </x:c>
      <x:c r="I468" s="91" t="str">
        <x:f>IF($F468="","",IFERROR(VALUE(MID($G468,FIND("/",$G468)+1,99))/100*$F468,$F468/2))</x:f>
      </x:c>
      <x:c r="J468" s="58"/>
      <x:c r="K468" s="58"/>
    </x:row>
    <x:row r="469">
      <x:c r="A469" s="58" t="str">
        <x:f>IF(B469="","",ROW()-1)</x:f>
      </x:c>
      <x:c r="B469" s="89"/>
      <x:c r="C469" s="58"/>
      <x:c r="D469" s="58"/>
      <x:c r="E469" s="58"/>
      <x:c r="F469" s="91"/>
      <x:c r="G469" s="91"/>
      <x:c r="H469" s="91" t="str">
        <x:f>IF($F469="","",IFERROR(VALUE(LEFT($G469,FIND("/",$G469)-1))/100*$F469,$F469/2))</x:f>
      </x:c>
      <x:c r="I469" s="91" t="str">
        <x:f>IF($F469="","",IFERROR(VALUE(MID($G469,FIND("/",$G469)+1,99))/100*$F469,$F469/2))</x:f>
      </x:c>
      <x:c r="J469" s="58"/>
      <x:c r="K469" s="58"/>
    </x:row>
    <x:row r="470">
      <x:c r="A470" s="58" t="str">
        <x:f>IF(B470="","",ROW()-1)</x:f>
      </x:c>
      <x:c r="B470" s="89"/>
      <x:c r="C470" s="58"/>
      <x:c r="D470" s="58"/>
      <x:c r="E470" s="58"/>
      <x:c r="F470" s="91"/>
      <x:c r="G470" s="91"/>
      <x:c r="H470" s="91" t="str">
        <x:f>IF($F470="","",IFERROR(VALUE(LEFT($G470,FIND("/",$G470)-1))/100*$F470,$F470/2))</x:f>
      </x:c>
      <x:c r="I470" s="91" t="str">
        <x:f>IF($F470="","",IFERROR(VALUE(MID($G470,FIND("/",$G470)+1,99))/100*$F470,$F470/2))</x:f>
      </x:c>
      <x:c r="J470" s="58"/>
      <x:c r="K470" s="58"/>
    </x:row>
    <x:row r="471">
      <x:c r="A471" s="58" t="str">
        <x:f>IF(B471="","",ROW()-1)</x:f>
      </x:c>
      <x:c r="B471" s="89"/>
      <x:c r="C471" s="58"/>
      <x:c r="D471" s="58"/>
      <x:c r="E471" s="58"/>
      <x:c r="F471" s="91"/>
      <x:c r="G471" s="91"/>
      <x:c r="H471" s="91" t="str">
        <x:f>IF($F471="","",IFERROR(VALUE(LEFT($G471,FIND("/",$G471)-1))/100*$F471,$F471/2))</x:f>
      </x:c>
      <x:c r="I471" s="91" t="str">
        <x:f>IF($F471="","",IFERROR(VALUE(MID($G471,FIND("/",$G471)+1,99))/100*$F471,$F471/2))</x:f>
      </x:c>
      <x:c r="J471" s="58"/>
      <x:c r="K471" s="58"/>
    </x:row>
    <x:row r="472">
      <x:c r="A472" s="58" t="str">
        <x:f>IF(B472="","",ROW()-1)</x:f>
      </x:c>
      <x:c r="B472" s="89"/>
      <x:c r="C472" s="58"/>
      <x:c r="D472" s="58"/>
      <x:c r="E472" s="58"/>
      <x:c r="F472" s="91"/>
      <x:c r="G472" s="91"/>
      <x:c r="H472" s="91" t="str">
        <x:f>IF($F472="","",IFERROR(VALUE(LEFT($G472,FIND("/",$G472)-1))/100*$F472,$F472/2))</x:f>
      </x:c>
      <x:c r="I472" s="91" t="str">
        <x:f>IF($F472="","",IFERROR(VALUE(MID($G472,FIND("/",$G472)+1,99))/100*$F472,$F472/2))</x:f>
      </x:c>
      <x:c r="J472" s="58"/>
      <x:c r="K472" s="58"/>
    </x:row>
    <x:row r="473">
      <x:c r="A473" s="58" t="str">
        <x:f>IF(B473="","",ROW()-1)</x:f>
      </x:c>
      <x:c r="B473" s="89"/>
      <x:c r="C473" s="58"/>
      <x:c r="D473" s="58"/>
      <x:c r="E473" s="58"/>
      <x:c r="F473" s="91"/>
      <x:c r="G473" s="91"/>
      <x:c r="H473" s="91" t="str">
        <x:f>IF($F473="","",IFERROR(VALUE(LEFT($G473,FIND("/",$G473)-1))/100*$F473,$F473/2))</x:f>
      </x:c>
      <x:c r="I473" s="91" t="str">
        <x:f>IF($F473="","",IFERROR(VALUE(MID($G473,FIND("/",$G473)+1,99))/100*$F473,$F473/2))</x:f>
      </x:c>
      <x:c r="J473" s="58"/>
      <x:c r="K473" s="58"/>
    </x:row>
    <x:row r="474">
      <x:c r="A474" s="58" t="str">
        <x:f>IF(B474="","",ROW()-1)</x:f>
      </x:c>
      <x:c r="B474" s="89"/>
      <x:c r="C474" s="58"/>
      <x:c r="D474" s="58"/>
      <x:c r="E474" s="58"/>
      <x:c r="F474" s="91"/>
      <x:c r="G474" s="91"/>
      <x:c r="H474" s="91" t="str">
        <x:f>IF($F474="","",IFERROR(VALUE(LEFT($G474,FIND("/",$G474)-1))/100*$F474,$F474/2))</x:f>
      </x:c>
      <x:c r="I474" s="91" t="str">
        <x:f>IF($F474="","",IFERROR(VALUE(MID($G474,FIND("/",$G474)+1,99))/100*$F474,$F474/2))</x:f>
      </x:c>
      <x:c r="J474" s="58"/>
      <x:c r="K474" s="58"/>
    </x:row>
    <x:row r="475">
      <x:c r="A475" s="58" t="str">
        <x:f>IF(B475="","",ROW()-1)</x:f>
      </x:c>
      <x:c r="B475" s="89"/>
      <x:c r="C475" s="58"/>
      <x:c r="D475" s="58"/>
      <x:c r="E475" s="58"/>
      <x:c r="F475" s="91"/>
      <x:c r="G475" s="91"/>
      <x:c r="H475" s="91" t="str">
        <x:f>IF($F475="","",IFERROR(VALUE(LEFT($G475,FIND("/",$G475)-1))/100*$F475,$F475/2))</x:f>
      </x:c>
      <x:c r="I475" s="91" t="str">
        <x:f>IF($F475="","",IFERROR(VALUE(MID($G475,FIND("/",$G475)+1,99))/100*$F475,$F475/2))</x:f>
      </x:c>
      <x:c r="J475" s="58"/>
      <x:c r="K475" s="58"/>
    </x:row>
    <x:row r="476">
      <x:c r="A476" s="58" t="str">
        <x:f>IF(B476="","",ROW()-1)</x:f>
      </x:c>
      <x:c r="B476" s="89"/>
      <x:c r="C476" s="58"/>
      <x:c r="D476" s="58"/>
      <x:c r="E476" s="58"/>
      <x:c r="F476" s="91"/>
      <x:c r="G476" s="91"/>
      <x:c r="H476" s="91" t="str">
        <x:f>IF($F476="","",IFERROR(VALUE(LEFT($G476,FIND("/",$G476)-1))/100*$F476,$F476/2))</x:f>
      </x:c>
      <x:c r="I476" s="91" t="str">
        <x:f>IF($F476="","",IFERROR(VALUE(MID($G476,FIND("/",$G476)+1,99))/100*$F476,$F476/2))</x:f>
      </x:c>
      <x:c r="J476" s="58"/>
      <x:c r="K476" s="58"/>
    </x:row>
    <x:row r="477">
      <x:c r="A477" s="58" t="str">
        <x:f>IF(B477="","",ROW()-1)</x:f>
      </x:c>
      <x:c r="B477" s="89"/>
      <x:c r="C477" s="58"/>
      <x:c r="D477" s="58"/>
      <x:c r="E477" s="58"/>
      <x:c r="F477" s="91"/>
      <x:c r="G477" s="91"/>
      <x:c r="H477" s="91" t="str">
        <x:f>IF($F477="","",IFERROR(VALUE(LEFT($G477,FIND("/",$G477)-1))/100*$F477,$F477/2))</x:f>
      </x:c>
      <x:c r="I477" s="91" t="str">
        <x:f>IF($F477="","",IFERROR(VALUE(MID($G477,FIND("/",$G477)+1,99))/100*$F477,$F477/2))</x:f>
      </x:c>
      <x:c r="J477" s="58"/>
      <x:c r="K477" s="58"/>
    </x:row>
    <x:row r="478">
      <x:c r="A478" s="58" t="str">
        <x:f>IF(B478="","",ROW()-1)</x:f>
      </x:c>
      <x:c r="B478" s="89"/>
      <x:c r="C478" s="58"/>
      <x:c r="D478" s="58"/>
      <x:c r="E478" s="58"/>
      <x:c r="F478" s="91"/>
      <x:c r="G478" s="91"/>
      <x:c r="H478" s="91" t="str">
        <x:f>IF($F478="","",IFERROR(VALUE(LEFT($G478,FIND("/",$G478)-1))/100*$F478,$F478/2))</x:f>
      </x:c>
      <x:c r="I478" s="91" t="str">
        <x:f>IF($F478="","",IFERROR(VALUE(MID($G478,FIND("/",$G478)+1,99))/100*$F478,$F478/2))</x:f>
      </x:c>
      <x:c r="J478" s="58"/>
      <x:c r="K478" s="58"/>
    </x:row>
    <x:row r="479">
      <x:c r="A479" s="58" t="str">
        <x:f>IF(B479="","",ROW()-1)</x:f>
      </x:c>
      <x:c r="B479" s="89"/>
      <x:c r="C479" s="58"/>
      <x:c r="D479" s="58"/>
      <x:c r="E479" s="58"/>
      <x:c r="F479" s="91"/>
      <x:c r="G479" s="91"/>
      <x:c r="H479" s="91" t="str">
        <x:f>IF($F479="","",IFERROR(VALUE(LEFT($G479,FIND("/",$G479)-1))/100*$F479,$F479/2))</x:f>
      </x:c>
      <x:c r="I479" s="91" t="str">
        <x:f>IF($F479="","",IFERROR(VALUE(MID($G479,FIND("/",$G479)+1,99))/100*$F479,$F479/2))</x:f>
      </x:c>
      <x:c r="J479" s="58"/>
      <x:c r="K479" s="58"/>
    </x:row>
    <x:row r="480">
      <x:c r="A480" s="58" t="str">
        <x:f>IF(B480="","",ROW()-1)</x:f>
      </x:c>
      <x:c r="B480" s="89"/>
      <x:c r="C480" s="58"/>
      <x:c r="D480" s="58"/>
      <x:c r="E480" s="58"/>
      <x:c r="F480" s="91"/>
      <x:c r="G480" s="91"/>
      <x:c r="H480" s="91" t="str">
        <x:f>IF($F480="","",IFERROR(VALUE(LEFT($G480,FIND("/",$G480)-1))/100*$F480,$F480/2))</x:f>
      </x:c>
      <x:c r="I480" s="91" t="str">
        <x:f>IF($F480="","",IFERROR(VALUE(MID($G480,FIND("/",$G480)+1,99))/100*$F480,$F480/2))</x:f>
      </x:c>
      <x:c r="J480" s="58"/>
      <x:c r="K480" s="58"/>
    </x:row>
    <x:row r="481">
      <x:c r="A481" s="58" t="str">
        <x:f>IF(B481="","",ROW()-1)</x:f>
      </x:c>
      <x:c r="B481" s="89"/>
      <x:c r="C481" s="58"/>
      <x:c r="D481" s="58"/>
      <x:c r="E481" s="58"/>
      <x:c r="F481" s="91"/>
      <x:c r="G481" s="91"/>
      <x:c r="H481" s="91" t="str">
        <x:f>IF($F481="","",IFERROR(VALUE(LEFT($G481,FIND("/",$G481)-1))/100*$F481,$F481/2))</x:f>
      </x:c>
      <x:c r="I481" s="91" t="str">
        <x:f>IF($F481="","",IFERROR(VALUE(MID($G481,FIND("/",$G481)+1,99))/100*$F481,$F481/2))</x:f>
      </x:c>
      <x:c r="J481" s="58"/>
      <x:c r="K481" s="58"/>
    </x:row>
    <x:row r="482">
      <x:c r="A482" s="58" t="str">
        <x:f>IF(B482="","",ROW()-1)</x:f>
      </x:c>
      <x:c r="B482" s="89"/>
      <x:c r="C482" s="58"/>
      <x:c r="D482" s="58"/>
      <x:c r="E482" s="58"/>
      <x:c r="F482" s="91"/>
      <x:c r="G482" s="91"/>
      <x:c r="H482" s="91" t="str">
        <x:f>IF($F482="","",IFERROR(VALUE(LEFT($G482,FIND("/",$G482)-1))/100*$F482,$F482/2))</x:f>
      </x:c>
      <x:c r="I482" s="91" t="str">
        <x:f>IF($F482="","",IFERROR(VALUE(MID($G482,FIND("/",$G482)+1,99))/100*$F482,$F482/2))</x:f>
      </x:c>
      <x:c r="J482" s="58"/>
      <x:c r="K482" s="58"/>
    </x:row>
    <x:row r="483">
      <x:c r="A483" s="58" t="str">
        <x:f>IF(B483="","",ROW()-1)</x:f>
      </x:c>
      <x:c r="B483" s="89"/>
      <x:c r="C483" s="58"/>
      <x:c r="D483" s="58"/>
      <x:c r="E483" s="58"/>
      <x:c r="F483" s="91"/>
      <x:c r="G483" s="91"/>
      <x:c r="H483" s="91" t="str">
        <x:f>IF($F483="","",IFERROR(VALUE(LEFT($G483,FIND("/",$G483)-1))/100*$F483,$F483/2))</x:f>
      </x:c>
      <x:c r="I483" s="91" t="str">
        <x:f>IF($F483="","",IFERROR(VALUE(MID($G483,FIND("/",$G483)+1,99))/100*$F483,$F483/2))</x:f>
      </x:c>
      <x:c r="J483" s="58"/>
      <x:c r="K483" s="58"/>
    </x:row>
    <x:row r="484">
      <x:c r="A484" s="58" t="str">
        <x:f>IF(B484="","",ROW()-1)</x:f>
      </x:c>
      <x:c r="B484" s="89"/>
      <x:c r="C484" s="58"/>
      <x:c r="D484" s="58"/>
      <x:c r="E484" s="58"/>
      <x:c r="F484" s="91"/>
      <x:c r="G484" s="91"/>
      <x:c r="H484" s="91" t="str">
        <x:f>IF($F484="","",IFERROR(VALUE(LEFT($G484,FIND("/",$G484)-1))/100*$F484,$F484/2))</x:f>
      </x:c>
      <x:c r="I484" s="91" t="str">
        <x:f>IF($F484="","",IFERROR(VALUE(MID($G484,FIND("/",$G484)+1,99))/100*$F484,$F484/2))</x:f>
      </x:c>
      <x:c r="J484" s="58"/>
      <x:c r="K484" s="58"/>
    </x:row>
    <x:row r="485">
      <x:c r="A485" s="58" t="str">
        <x:f>IF(B485="","",ROW()-1)</x:f>
      </x:c>
      <x:c r="B485" s="89"/>
      <x:c r="C485" s="58"/>
      <x:c r="D485" s="58"/>
      <x:c r="E485" s="58"/>
      <x:c r="F485" s="91"/>
      <x:c r="G485" s="91"/>
      <x:c r="H485" s="91" t="str">
        <x:f>IF($F485="","",IFERROR(VALUE(LEFT($G485,FIND("/",$G485)-1))/100*$F485,$F485/2))</x:f>
      </x:c>
      <x:c r="I485" s="91" t="str">
        <x:f>IF($F485="","",IFERROR(VALUE(MID($G485,FIND("/",$G485)+1,99))/100*$F485,$F485/2))</x:f>
      </x:c>
      <x:c r="J485" s="58"/>
      <x:c r="K485" s="58"/>
    </x:row>
    <x:row r="486">
      <x:c r="A486" s="58" t="str">
        <x:f>IF(B486="","",ROW()-1)</x:f>
      </x:c>
      <x:c r="B486" s="89"/>
      <x:c r="C486" s="58"/>
      <x:c r="D486" s="58"/>
      <x:c r="E486" s="58"/>
      <x:c r="F486" s="91"/>
      <x:c r="G486" s="91"/>
      <x:c r="H486" s="91" t="str">
        <x:f>IF($F486="","",IFERROR(VALUE(LEFT($G486,FIND("/",$G486)-1))/100*$F486,$F486/2))</x:f>
      </x:c>
      <x:c r="I486" s="91" t="str">
        <x:f>IF($F486="","",IFERROR(VALUE(MID($G486,FIND("/",$G486)+1,99))/100*$F486,$F486/2))</x:f>
      </x:c>
      <x:c r="J486" s="58"/>
      <x:c r="K486" s="58"/>
    </x:row>
    <x:row r="487">
      <x:c r="A487" s="58" t="str">
        <x:f>IF(B487="","",ROW()-1)</x:f>
      </x:c>
      <x:c r="B487" s="89"/>
      <x:c r="C487" s="58"/>
      <x:c r="D487" s="58"/>
      <x:c r="E487" s="58"/>
      <x:c r="F487" s="91"/>
      <x:c r="G487" s="91"/>
      <x:c r="H487" s="91" t="str">
        <x:f>IF($F487="","",IFERROR(VALUE(LEFT($G487,FIND("/",$G487)-1))/100*$F487,$F487/2))</x:f>
      </x:c>
      <x:c r="I487" s="91" t="str">
        <x:f>IF($F487="","",IFERROR(VALUE(MID($G487,FIND("/",$G487)+1,99))/100*$F487,$F487/2))</x:f>
      </x:c>
      <x:c r="J487" s="58"/>
      <x:c r="K487" s="58"/>
    </x:row>
    <x:row r="488">
      <x:c r="A488" s="58" t="str">
        <x:f>IF(B488="","",ROW()-1)</x:f>
      </x:c>
      <x:c r="B488" s="89"/>
      <x:c r="C488" s="58"/>
      <x:c r="D488" s="58"/>
      <x:c r="E488" s="58"/>
      <x:c r="F488" s="91"/>
      <x:c r="G488" s="91"/>
      <x:c r="H488" s="91" t="str">
        <x:f>IF($F488="","",IFERROR(VALUE(LEFT($G488,FIND("/",$G488)-1))/100*$F488,$F488/2))</x:f>
      </x:c>
      <x:c r="I488" s="91" t="str">
        <x:f>IF($F488="","",IFERROR(VALUE(MID($G488,FIND("/",$G488)+1,99))/100*$F488,$F488/2))</x:f>
      </x:c>
      <x:c r="J488" s="58"/>
      <x:c r="K488" s="58"/>
    </x:row>
    <x:row r="489">
      <x:c r="A489" s="58" t="str">
        <x:f>IF(B489="","",ROW()-1)</x:f>
      </x:c>
      <x:c r="B489" s="89"/>
      <x:c r="C489" s="58"/>
      <x:c r="D489" s="58"/>
      <x:c r="E489" s="58"/>
      <x:c r="F489" s="91"/>
      <x:c r="G489" s="91"/>
      <x:c r="H489" s="91" t="str">
        <x:f>IF($F489="","",IFERROR(VALUE(LEFT($G489,FIND("/",$G489)-1))/100*$F489,$F489/2))</x:f>
      </x:c>
      <x:c r="I489" s="91" t="str">
        <x:f>IF($F489="","",IFERROR(VALUE(MID($G489,FIND("/",$G489)+1,99))/100*$F489,$F489/2))</x:f>
      </x:c>
      <x:c r="J489" s="58"/>
      <x:c r="K489" s="58"/>
    </x:row>
    <x:row r="490">
      <x:c r="A490" s="58" t="str">
        <x:f>IF(B490="","",ROW()-1)</x:f>
      </x:c>
      <x:c r="B490" s="89"/>
      <x:c r="C490" s="58"/>
      <x:c r="D490" s="58"/>
      <x:c r="E490" s="58"/>
      <x:c r="F490" s="91"/>
      <x:c r="G490" s="91"/>
      <x:c r="H490" s="91" t="str">
        <x:f>IF($F490="","",IFERROR(VALUE(LEFT($G490,FIND("/",$G490)-1))/100*$F490,$F490/2))</x:f>
      </x:c>
      <x:c r="I490" s="91" t="str">
        <x:f>IF($F490="","",IFERROR(VALUE(MID($G490,FIND("/",$G490)+1,99))/100*$F490,$F490/2))</x:f>
      </x:c>
      <x:c r="J490" s="58"/>
      <x:c r="K490" s="58"/>
    </x:row>
    <x:row r="491">
      <x:c r="A491" s="58" t="str">
        <x:f>IF(B491="","",ROW()-1)</x:f>
      </x:c>
      <x:c r="B491" s="89"/>
      <x:c r="C491" s="58"/>
      <x:c r="D491" s="58"/>
      <x:c r="E491" s="58"/>
      <x:c r="F491" s="91"/>
      <x:c r="G491" s="91"/>
      <x:c r="H491" s="91" t="str">
        <x:f>IF($F491="","",IFERROR(VALUE(LEFT($G491,FIND("/",$G491)-1))/100*$F491,$F491/2))</x:f>
      </x:c>
      <x:c r="I491" s="91" t="str">
        <x:f>IF($F491="","",IFERROR(VALUE(MID($G491,FIND("/",$G491)+1,99))/100*$F491,$F491/2))</x:f>
      </x:c>
      <x:c r="J491" s="58"/>
      <x:c r="K491" s="58"/>
    </x:row>
    <x:row r="492">
      <x:c r="A492" s="58" t="str">
        <x:f>IF(B492="","",ROW()-1)</x:f>
      </x:c>
      <x:c r="B492" s="89"/>
      <x:c r="C492" s="58"/>
      <x:c r="D492" s="58"/>
      <x:c r="E492" s="58"/>
      <x:c r="F492" s="91"/>
      <x:c r="G492" s="91"/>
      <x:c r="H492" s="91" t="str">
        <x:f>IF($F492="","",IFERROR(VALUE(LEFT($G492,FIND("/",$G492)-1))/100*$F492,$F492/2))</x:f>
      </x:c>
      <x:c r="I492" s="91" t="str">
        <x:f>IF($F492="","",IFERROR(VALUE(MID($G492,FIND("/",$G492)+1,99))/100*$F492,$F492/2))</x:f>
      </x:c>
      <x:c r="J492" s="58"/>
      <x:c r="K492" s="58"/>
    </x:row>
    <x:row r="493">
      <x:c r="A493" s="58" t="str">
        <x:f>IF(B493="","",ROW()-1)</x:f>
      </x:c>
      <x:c r="B493" s="89"/>
      <x:c r="C493" s="58"/>
      <x:c r="D493" s="58"/>
      <x:c r="E493" s="58"/>
      <x:c r="F493" s="91"/>
      <x:c r="G493" s="91"/>
      <x:c r="H493" s="91" t="str">
        <x:f>IF($F493="","",IFERROR(VALUE(LEFT($G493,FIND("/",$G493)-1))/100*$F493,$F493/2))</x:f>
      </x:c>
      <x:c r="I493" s="91" t="str">
        <x:f>IF($F493="","",IFERROR(VALUE(MID($G493,FIND("/",$G493)+1,99))/100*$F493,$F493/2))</x:f>
      </x:c>
      <x:c r="J493" s="58"/>
      <x:c r="K493" s="58"/>
    </x:row>
    <x:row r="494">
      <x:c r="A494" s="58" t="str">
        <x:f>IF(B494="","",ROW()-1)</x:f>
      </x:c>
      <x:c r="B494" s="89"/>
      <x:c r="C494" s="58"/>
      <x:c r="D494" s="58"/>
      <x:c r="E494" s="58"/>
      <x:c r="F494" s="91"/>
      <x:c r="G494" s="91"/>
      <x:c r="H494" s="91" t="str">
        <x:f>IF($F494="","",IFERROR(VALUE(LEFT($G494,FIND("/",$G494)-1))/100*$F494,$F494/2))</x:f>
      </x:c>
      <x:c r="I494" s="91" t="str">
        <x:f>IF($F494="","",IFERROR(VALUE(MID($G494,FIND("/",$G494)+1,99))/100*$F494,$F494/2))</x:f>
      </x:c>
      <x:c r="J494" s="58"/>
      <x:c r="K494" s="58"/>
    </x:row>
    <x:row r="495">
      <x:c r="A495" s="58" t="str">
        <x:f>IF(B495="","",ROW()-1)</x:f>
      </x:c>
      <x:c r="B495" s="89"/>
      <x:c r="C495" s="58"/>
      <x:c r="D495" s="58"/>
      <x:c r="E495" s="58"/>
      <x:c r="F495" s="91"/>
      <x:c r="G495" s="91"/>
      <x:c r="H495" s="91" t="str">
        <x:f>IF($F495="","",IFERROR(VALUE(LEFT($G495,FIND("/",$G495)-1))/100*$F495,$F495/2))</x:f>
      </x:c>
      <x:c r="I495" s="91" t="str">
        <x:f>IF($F495="","",IFERROR(VALUE(MID($G495,FIND("/",$G495)+1,99))/100*$F495,$F495/2))</x:f>
      </x:c>
      <x:c r="J495" s="58"/>
      <x:c r="K495" s="58"/>
    </x:row>
    <x:row r="496">
      <x:c r="A496" s="58" t="str">
        <x:f>IF(B496="","",ROW()-1)</x:f>
      </x:c>
      <x:c r="B496" s="89"/>
      <x:c r="C496" s="58"/>
      <x:c r="D496" s="58"/>
      <x:c r="E496" s="58"/>
      <x:c r="F496" s="91"/>
      <x:c r="G496" s="91"/>
      <x:c r="H496" s="91" t="str">
        <x:f>IF($F496="","",IFERROR(VALUE(LEFT($G496,FIND("/",$G496)-1))/100*$F496,$F496/2))</x:f>
      </x:c>
      <x:c r="I496" s="91" t="str">
        <x:f>IF($F496="","",IFERROR(VALUE(MID($G496,FIND("/",$G496)+1,99))/100*$F496,$F496/2))</x:f>
      </x:c>
      <x:c r="J496" s="58"/>
      <x:c r="K496" s="58"/>
    </x:row>
    <x:row r="497">
      <x:c r="A497" s="58" t="str">
        <x:f>IF(B497="","",ROW()-1)</x:f>
      </x:c>
      <x:c r="B497" s="89"/>
      <x:c r="C497" s="58"/>
      <x:c r="D497" s="58"/>
      <x:c r="E497" s="58"/>
      <x:c r="F497" s="91"/>
      <x:c r="G497" s="91"/>
      <x:c r="H497" s="91" t="str">
        <x:f>IF($F497="","",IFERROR(VALUE(LEFT($G497,FIND("/",$G497)-1))/100*$F497,$F497/2))</x:f>
      </x:c>
      <x:c r="I497" s="91" t="str">
        <x:f>IF($F497="","",IFERROR(VALUE(MID($G497,FIND("/",$G497)+1,99))/100*$F497,$F497/2))</x:f>
      </x:c>
      <x:c r="J497" s="58"/>
      <x:c r="K497" s="58"/>
    </x:row>
    <x:row r="498">
      <x:c r="A498" s="58" t="str">
        <x:f>IF(B498="","",ROW()-1)</x:f>
      </x:c>
      <x:c r="B498" s="89"/>
      <x:c r="C498" s="58"/>
      <x:c r="D498" s="58"/>
      <x:c r="E498" s="58"/>
      <x:c r="F498" s="91"/>
      <x:c r="G498" s="91"/>
      <x:c r="H498" s="91" t="str">
        <x:f>IF($F498="","",IFERROR(VALUE(LEFT($G498,FIND("/",$G498)-1))/100*$F498,$F498/2))</x:f>
      </x:c>
      <x:c r="I498" s="91" t="str">
        <x:f>IF($F498="","",IFERROR(VALUE(MID($G498,FIND("/",$G498)+1,99))/100*$F498,$F498/2))</x:f>
      </x:c>
      <x:c r="J498" s="58"/>
      <x:c r="K498" s="58"/>
    </x:row>
    <x:row r="499">
      <x:c r="A499" s="58" t="str">
        <x:f>IF(B499="","",ROW()-1)</x:f>
      </x:c>
      <x:c r="B499" s="89"/>
      <x:c r="C499" s="58"/>
      <x:c r="D499" s="58"/>
      <x:c r="E499" s="58"/>
      <x:c r="F499" s="91"/>
      <x:c r="G499" s="91"/>
      <x:c r="H499" s="91" t="str">
        <x:f>IF($F499="","",IFERROR(VALUE(LEFT($G499,FIND("/",$G499)-1))/100*$F499,$F499/2))</x:f>
      </x:c>
      <x:c r="I499" s="91" t="str">
        <x:f>IF($F499="","",IFERROR(VALUE(MID($G499,FIND("/",$G499)+1,99))/100*$F499,$F499/2))</x:f>
      </x:c>
      <x:c r="J499" s="58"/>
      <x:c r="K499" s="58"/>
    </x:row>
    <x:row r="500">
      <x:c r="A500" s="58" t="str">
        <x:f>IF(B500="","",ROW()-1)</x:f>
      </x:c>
      <x:c r="B500" s="89"/>
      <x:c r="C500" s="58"/>
      <x:c r="D500" s="58"/>
      <x:c r="E500" s="58"/>
      <x:c r="F500" s="91"/>
      <x:c r="G500" s="91"/>
      <x:c r="H500" s="91" t="str">
        <x:f>IF($F500="","",IFERROR(VALUE(LEFT($G500,FIND("/",$G500)-1))/100*$F500,$F500/2))</x:f>
      </x:c>
      <x:c r="I500" s="91" t="str">
        <x:f>IF($F500="","",IFERROR(VALUE(MID($G500,FIND("/",$G500)+1,99))/100*$F500,$F500/2))</x:f>
      </x:c>
      <x:c r="J500" s="58"/>
      <x:c r="K500" s="58"/>
    </x:row>
  </x:sheetData>
  <x:dataValidations count="3">
    <x:dataValidation type="list" sqref="D2:D500">
      <x:formula1>Settings!$B$2:$B$14</x:formula1>
    </x:dataValidation>
    <x:dataValidation type="list" sqref="E2:E500">
      <x:formula1>Settings!$A$2:$A$3</x:formula1>
    </x:dataValidation>
    <x:dataValidation type="list" sqref="G2:G500">
      <x:formula1>Settings!$C$2:$C$10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4" hidden="0" customWidth="1"/>
    <x:col min="3" max="3" width="14" hidden="0" customWidth="1"/>
    <x:col min="4" max="4" width="12" hidden="0" customWidth="1"/>
    <x:col min="5" max="5" width="30" hidden="0" customWidth="1"/>
  </x:cols>
  <x:sheetData>
    <x:row r="1">
      <x:c r="A1" s="45" t="str">
        <x:v>Date</x:v>
      </x:c>
      <x:c r="B1" s="45" t="str">
        <x:v>From</x:v>
      </x:c>
      <x:c r="C1" s="45" t="str">
        <x:v>To</x:v>
      </x:c>
      <x:c r="D1" s="45" t="str">
        <x:v>Amount</x:v>
      </x:c>
      <x:c r="E1" s="45" t="str">
        <x:v>Note</x:v>
      </x:c>
    </x:row>
    <x:row r="2">
      <x:c r="A2" s="89"/>
      <x:c r="B2" s="58"/>
      <x:c r="C2" s="58"/>
      <x:c r="D2" s="91"/>
      <x:c r="E2" s="58"/>
    </x:row>
    <x:row r="3">
      <x:c r="A3" s="89"/>
      <x:c r="B3" s="58"/>
      <x:c r="C3" s="58"/>
      <x:c r="D3" s="91"/>
      <x:c r="E3" s="58"/>
    </x:row>
    <x:row r="4">
      <x:c r="A4" s="89"/>
      <x:c r="B4" s="58"/>
      <x:c r="C4" s="58"/>
      <x:c r="D4" s="91"/>
      <x:c r="E4" s="58"/>
    </x:row>
    <x:row r="5">
      <x:c r="A5" s="89"/>
      <x:c r="B5" s="58"/>
      <x:c r="C5" s="58"/>
      <x:c r="D5" s="91"/>
      <x:c r="E5" s="58"/>
    </x:row>
    <x:row r="6">
      <x:c r="A6" s="89"/>
      <x:c r="B6" s="58"/>
      <x:c r="C6" s="58"/>
      <x:c r="D6" s="91"/>
      <x:c r="E6" s="58"/>
    </x:row>
    <x:row r="7">
      <x:c r="A7" s="89"/>
      <x:c r="B7" s="58"/>
      <x:c r="C7" s="58"/>
      <x:c r="D7" s="91"/>
      <x:c r="E7" s="58"/>
    </x:row>
    <x:row r="8">
      <x:c r="A8" s="89"/>
      <x:c r="B8" s="58"/>
      <x:c r="C8" s="58"/>
      <x:c r="D8" s="91"/>
      <x:c r="E8" s="58"/>
    </x:row>
    <x:row r="9">
      <x:c r="A9" s="89"/>
      <x:c r="B9" s="58"/>
      <x:c r="C9" s="58"/>
      <x:c r="D9" s="91"/>
      <x:c r="E9" s="58"/>
    </x:row>
    <x:row r="10">
      <x:c r="A10" s="89"/>
      <x:c r="B10" s="58"/>
      <x:c r="C10" s="58"/>
      <x:c r="D10" s="91"/>
      <x:c r="E10" s="58"/>
    </x:row>
    <x:row r="11">
      <x:c r="A11" s="89"/>
      <x:c r="B11" s="58"/>
      <x:c r="C11" s="58"/>
      <x:c r="D11" s="91"/>
      <x:c r="E11" s="58"/>
    </x:row>
    <x:row r="12">
      <x:c r="A12" s="89"/>
      <x:c r="B12" s="58"/>
      <x:c r="C12" s="58"/>
      <x:c r="D12" s="91"/>
      <x:c r="E12" s="58"/>
    </x:row>
    <x:row r="13">
      <x:c r="A13" s="89"/>
      <x:c r="B13" s="58"/>
      <x:c r="C13" s="58"/>
      <x:c r="D13" s="91"/>
      <x:c r="E13" s="58"/>
    </x:row>
    <x:row r="14">
      <x:c r="A14" s="89"/>
      <x:c r="B14" s="58"/>
      <x:c r="C14" s="58"/>
      <x:c r="D14" s="91"/>
      <x:c r="E14" s="58"/>
    </x:row>
    <x:row r="15">
      <x:c r="A15" s="89"/>
      <x:c r="B15" s="58"/>
      <x:c r="C15" s="58"/>
      <x:c r="D15" s="91"/>
      <x:c r="E15" s="58"/>
    </x:row>
    <x:row r="16">
      <x:c r="A16" s="89"/>
      <x:c r="B16" s="58"/>
      <x:c r="C16" s="58"/>
      <x:c r="D16" s="91"/>
      <x:c r="E16" s="58"/>
    </x:row>
    <x:row r="17">
      <x:c r="A17" s="89"/>
      <x:c r="B17" s="58"/>
      <x:c r="C17" s="58"/>
      <x:c r="D17" s="91"/>
      <x:c r="E17" s="58"/>
    </x:row>
    <x:row r="18">
      <x:c r="A18" s="89"/>
      <x:c r="B18" s="58"/>
      <x:c r="C18" s="58"/>
      <x:c r="D18" s="91"/>
      <x:c r="E18" s="58"/>
    </x:row>
    <x:row r="19">
      <x:c r="A19" s="89"/>
      <x:c r="B19" s="58"/>
      <x:c r="C19" s="58"/>
      <x:c r="D19" s="91"/>
      <x:c r="E19" s="58"/>
    </x:row>
    <x:row r="20">
      <x:c r="A20" s="89"/>
      <x:c r="B20" s="58"/>
      <x:c r="C20" s="58"/>
      <x:c r="D20" s="91"/>
      <x:c r="E20" s="58"/>
    </x:row>
    <x:row r="21">
      <x:c r="A21" s="89"/>
      <x:c r="B21" s="58"/>
      <x:c r="C21" s="58"/>
      <x:c r="D21" s="91"/>
      <x:c r="E21" s="58"/>
    </x:row>
    <x:row r="22">
      <x:c r="A22" s="89"/>
      <x:c r="B22" s="58"/>
      <x:c r="C22" s="58"/>
      <x:c r="D22" s="91"/>
      <x:c r="E22" s="58"/>
    </x:row>
    <x:row r="23">
      <x:c r="A23" s="89"/>
      <x:c r="B23" s="58"/>
      <x:c r="C23" s="58"/>
      <x:c r="D23" s="91"/>
      <x:c r="E23" s="58"/>
    </x:row>
    <x:row r="24">
      <x:c r="A24" s="89"/>
      <x:c r="B24" s="58"/>
      <x:c r="C24" s="58"/>
      <x:c r="D24" s="91"/>
      <x:c r="E24" s="58"/>
    </x:row>
    <x:row r="25">
      <x:c r="A25" s="89"/>
      <x:c r="B25" s="58"/>
      <x:c r="C25" s="58"/>
      <x:c r="D25" s="91"/>
      <x:c r="E25" s="58"/>
    </x:row>
    <x:row r="26">
      <x:c r="A26" s="89"/>
      <x:c r="B26" s="58"/>
      <x:c r="C26" s="58"/>
      <x:c r="D26" s="91"/>
      <x:c r="E26" s="58"/>
    </x:row>
    <x:row r="27">
      <x:c r="A27" s="89"/>
      <x:c r="B27" s="58"/>
      <x:c r="C27" s="58"/>
      <x:c r="D27" s="91"/>
      <x:c r="E27" s="58"/>
    </x:row>
    <x:row r="28">
      <x:c r="A28" s="89"/>
      <x:c r="B28" s="58"/>
      <x:c r="C28" s="58"/>
      <x:c r="D28" s="91"/>
      <x:c r="E28" s="58"/>
    </x:row>
    <x:row r="29">
      <x:c r="A29" s="89"/>
      <x:c r="B29" s="58"/>
      <x:c r="C29" s="58"/>
      <x:c r="D29" s="91"/>
      <x:c r="E29" s="58"/>
    </x:row>
    <x:row r="30">
      <x:c r="A30" s="89"/>
      <x:c r="B30" s="58"/>
      <x:c r="C30" s="58"/>
      <x:c r="D30" s="91"/>
      <x:c r="E30" s="58"/>
    </x:row>
    <x:row r="31">
      <x:c r="A31" s="89"/>
      <x:c r="B31" s="58"/>
      <x:c r="C31" s="58"/>
      <x:c r="D31" s="91"/>
      <x:c r="E31" s="58"/>
    </x:row>
    <x:row r="32">
      <x:c r="A32" s="89"/>
      <x:c r="B32" s="58"/>
      <x:c r="C32" s="58"/>
      <x:c r="D32" s="91"/>
      <x:c r="E32" s="58"/>
    </x:row>
    <x:row r="33">
      <x:c r="A33" s="89"/>
      <x:c r="B33" s="58"/>
      <x:c r="C33" s="58"/>
      <x:c r="D33" s="91"/>
      <x:c r="E33" s="58"/>
    </x:row>
    <x:row r="34">
      <x:c r="A34" s="89"/>
      <x:c r="B34" s="58"/>
      <x:c r="C34" s="58"/>
      <x:c r="D34" s="91"/>
      <x:c r="E34" s="58"/>
    </x:row>
    <x:row r="35">
      <x:c r="A35" s="89"/>
      <x:c r="B35" s="58"/>
      <x:c r="C35" s="58"/>
      <x:c r="D35" s="91"/>
      <x:c r="E35" s="58"/>
    </x:row>
    <x:row r="36">
      <x:c r="A36" s="89"/>
      <x:c r="B36" s="58"/>
      <x:c r="C36" s="58"/>
      <x:c r="D36" s="91"/>
      <x:c r="E36" s="58"/>
    </x:row>
    <x:row r="37">
      <x:c r="A37" s="89"/>
      <x:c r="B37" s="58"/>
      <x:c r="C37" s="58"/>
      <x:c r="D37" s="91"/>
      <x:c r="E37" s="58"/>
    </x:row>
    <x:row r="38">
      <x:c r="A38" s="89"/>
      <x:c r="B38" s="58"/>
      <x:c r="C38" s="58"/>
      <x:c r="D38" s="91"/>
      <x:c r="E38" s="58"/>
    </x:row>
    <x:row r="39">
      <x:c r="A39" s="89"/>
      <x:c r="B39" s="58"/>
      <x:c r="C39" s="58"/>
      <x:c r="D39" s="91"/>
      <x:c r="E39" s="58"/>
    </x:row>
    <x:row r="40">
      <x:c r="A40" s="89"/>
      <x:c r="B40" s="58"/>
      <x:c r="C40" s="58"/>
      <x:c r="D40" s="91"/>
      <x:c r="E40" s="58"/>
    </x:row>
    <x:row r="41">
      <x:c r="A41" s="89"/>
      <x:c r="B41" s="58"/>
      <x:c r="C41" s="58"/>
      <x:c r="D41" s="91"/>
      <x:c r="E41" s="58"/>
    </x:row>
    <x:row r="42">
      <x:c r="A42" s="89"/>
      <x:c r="B42" s="58"/>
      <x:c r="C42" s="58"/>
      <x:c r="D42" s="91"/>
      <x:c r="E42" s="58"/>
    </x:row>
    <x:row r="43">
      <x:c r="A43" s="89"/>
      <x:c r="B43" s="58"/>
      <x:c r="C43" s="58"/>
      <x:c r="D43" s="91"/>
      <x:c r="E43" s="58"/>
    </x:row>
    <x:row r="44">
      <x:c r="A44" s="89"/>
      <x:c r="B44" s="58"/>
      <x:c r="C44" s="58"/>
      <x:c r="D44" s="91"/>
      <x:c r="E44" s="58"/>
    </x:row>
    <x:row r="45">
      <x:c r="A45" s="89"/>
      <x:c r="B45" s="58"/>
      <x:c r="C45" s="58"/>
      <x:c r="D45" s="91"/>
      <x:c r="E45" s="58"/>
    </x:row>
    <x:row r="46">
      <x:c r="A46" s="89"/>
      <x:c r="B46" s="58"/>
      <x:c r="C46" s="58"/>
      <x:c r="D46" s="91"/>
      <x:c r="E46" s="58"/>
    </x:row>
    <x:row r="47">
      <x:c r="A47" s="89"/>
      <x:c r="B47" s="58"/>
      <x:c r="C47" s="58"/>
      <x:c r="D47" s="91"/>
      <x:c r="E47" s="58"/>
    </x:row>
    <x:row r="48">
      <x:c r="A48" s="89"/>
      <x:c r="B48" s="58"/>
      <x:c r="C48" s="58"/>
      <x:c r="D48" s="91"/>
      <x:c r="E48" s="58"/>
    </x:row>
    <x:row r="49">
      <x:c r="A49" s="89"/>
      <x:c r="B49" s="58"/>
      <x:c r="C49" s="58"/>
      <x:c r="D49" s="91"/>
      <x:c r="E49" s="58"/>
    </x:row>
    <x:row r="50">
      <x:c r="A50" s="89"/>
      <x:c r="B50" s="58"/>
      <x:c r="C50" s="58"/>
      <x:c r="D50" s="91"/>
      <x:c r="E50" s="58"/>
    </x:row>
    <x:row r="51">
      <x:c r="A51" s="89"/>
      <x:c r="B51" s="58"/>
      <x:c r="C51" s="58"/>
      <x:c r="D51" s="91"/>
      <x:c r="E51" s="58"/>
    </x:row>
    <x:row r="52">
      <x:c r="A52" s="89"/>
      <x:c r="B52" s="58"/>
      <x:c r="C52" s="58"/>
      <x:c r="D52" s="91"/>
      <x:c r="E52" s="58"/>
    </x:row>
    <x:row r="53">
      <x:c r="A53" s="89"/>
      <x:c r="B53" s="58"/>
      <x:c r="C53" s="58"/>
      <x:c r="D53" s="91"/>
      <x:c r="E53" s="58"/>
    </x:row>
    <x:row r="54">
      <x:c r="A54" s="89"/>
      <x:c r="B54" s="58"/>
      <x:c r="C54" s="58"/>
      <x:c r="D54" s="91"/>
      <x:c r="E54" s="58"/>
    </x:row>
    <x:row r="55">
      <x:c r="A55" s="89"/>
      <x:c r="B55" s="58"/>
      <x:c r="C55" s="58"/>
      <x:c r="D55" s="91"/>
      <x:c r="E55" s="58"/>
    </x:row>
    <x:row r="56">
      <x:c r="A56" s="89"/>
      <x:c r="B56" s="58"/>
      <x:c r="C56" s="58"/>
      <x:c r="D56" s="91"/>
      <x:c r="E56" s="58"/>
    </x:row>
    <x:row r="57">
      <x:c r="A57" s="89"/>
      <x:c r="B57" s="58"/>
      <x:c r="C57" s="58"/>
      <x:c r="D57" s="91"/>
      <x:c r="E57" s="58"/>
    </x:row>
    <x:row r="58">
      <x:c r="A58" s="89"/>
      <x:c r="B58" s="58"/>
      <x:c r="C58" s="58"/>
      <x:c r="D58" s="91"/>
      <x:c r="E58" s="58"/>
    </x:row>
    <x:row r="59">
      <x:c r="A59" s="89"/>
      <x:c r="B59" s="58"/>
      <x:c r="C59" s="58"/>
      <x:c r="D59" s="91"/>
      <x:c r="E59" s="58"/>
    </x:row>
    <x:row r="60">
      <x:c r="A60" s="89"/>
      <x:c r="B60" s="58"/>
      <x:c r="C60" s="58"/>
      <x:c r="D60" s="91"/>
      <x:c r="E60" s="58"/>
    </x:row>
    <x:row r="61">
      <x:c r="A61" s="89"/>
      <x:c r="B61" s="58"/>
      <x:c r="C61" s="58"/>
      <x:c r="D61" s="91"/>
      <x:c r="E61" s="58"/>
    </x:row>
    <x:row r="62">
      <x:c r="A62" s="89"/>
      <x:c r="B62" s="58"/>
      <x:c r="C62" s="58"/>
      <x:c r="D62" s="91"/>
      <x:c r="E62" s="58"/>
    </x:row>
    <x:row r="63">
      <x:c r="A63" s="89"/>
      <x:c r="B63" s="58"/>
      <x:c r="C63" s="58"/>
      <x:c r="D63" s="91"/>
      <x:c r="E63" s="58"/>
    </x:row>
    <x:row r="64">
      <x:c r="A64" s="89"/>
      <x:c r="B64" s="58"/>
      <x:c r="C64" s="58"/>
      <x:c r="D64" s="91"/>
      <x:c r="E64" s="58"/>
    </x:row>
    <x:row r="65">
      <x:c r="A65" s="89"/>
      <x:c r="B65" s="58"/>
      <x:c r="C65" s="58"/>
      <x:c r="D65" s="91"/>
      <x:c r="E65" s="58"/>
    </x:row>
    <x:row r="66">
      <x:c r="A66" s="89"/>
      <x:c r="B66" s="58"/>
      <x:c r="C66" s="58"/>
      <x:c r="D66" s="91"/>
      <x:c r="E66" s="58"/>
    </x:row>
    <x:row r="67">
      <x:c r="A67" s="89"/>
      <x:c r="B67" s="58"/>
      <x:c r="C67" s="58"/>
      <x:c r="D67" s="91"/>
      <x:c r="E67" s="58"/>
    </x:row>
    <x:row r="68">
      <x:c r="A68" s="89"/>
      <x:c r="B68" s="58"/>
      <x:c r="C68" s="58"/>
      <x:c r="D68" s="91"/>
      <x:c r="E68" s="58"/>
    </x:row>
    <x:row r="69">
      <x:c r="A69" s="89"/>
      <x:c r="B69" s="58"/>
      <x:c r="C69" s="58"/>
      <x:c r="D69" s="91"/>
      <x:c r="E69" s="58"/>
    </x:row>
    <x:row r="70">
      <x:c r="A70" s="89"/>
      <x:c r="B70" s="58"/>
      <x:c r="C70" s="58"/>
      <x:c r="D70" s="91"/>
      <x:c r="E70" s="58"/>
    </x:row>
    <x:row r="71">
      <x:c r="A71" s="89"/>
      <x:c r="B71" s="58"/>
      <x:c r="C71" s="58"/>
      <x:c r="D71" s="91"/>
      <x:c r="E71" s="58"/>
    </x:row>
    <x:row r="72">
      <x:c r="A72" s="89"/>
      <x:c r="B72" s="58"/>
      <x:c r="C72" s="58"/>
      <x:c r="D72" s="91"/>
      <x:c r="E72" s="58"/>
    </x:row>
    <x:row r="73">
      <x:c r="A73" s="89"/>
      <x:c r="B73" s="58"/>
      <x:c r="C73" s="58"/>
      <x:c r="D73" s="91"/>
      <x:c r="E73" s="58"/>
    </x:row>
    <x:row r="74">
      <x:c r="A74" s="89"/>
      <x:c r="B74" s="58"/>
      <x:c r="C74" s="58"/>
      <x:c r="D74" s="91"/>
      <x:c r="E74" s="58"/>
    </x:row>
    <x:row r="75">
      <x:c r="A75" s="89"/>
      <x:c r="B75" s="58"/>
      <x:c r="C75" s="58"/>
      <x:c r="D75" s="91"/>
      <x:c r="E75" s="58"/>
    </x:row>
    <x:row r="76">
      <x:c r="A76" s="89"/>
      <x:c r="B76" s="58"/>
      <x:c r="C76" s="58"/>
      <x:c r="D76" s="91"/>
      <x:c r="E76" s="58"/>
    </x:row>
    <x:row r="77">
      <x:c r="A77" s="89"/>
      <x:c r="B77" s="58"/>
      <x:c r="C77" s="58"/>
      <x:c r="D77" s="91"/>
      <x:c r="E77" s="58"/>
    </x:row>
    <x:row r="78">
      <x:c r="A78" s="89"/>
      <x:c r="B78" s="58"/>
      <x:c r="C78" s="58"/>
      <x:c r="D78" s="91"/>
      <x:c r="E78" s="58"/>
    </x:row>
    <x:row r="79">
      <x:c r="A79" s="89"/>
      <x:c r="B79" s="58"/>
      <x:c r="C79" s="58"/>
      <x:c r="D79" s="91"/>
      <x:c r="E79" s="58"/>
    </x:row>
    <x:row r="80">
      <x:c r="A80" s="89"/>
      <x:c r="B80" s="58"/>
      <x:c r="C80" s="58"/>
      <x:c r="D80" s="91"/>
      <x:c r="E80" s="58"/>
    </x:row>
    <x:row r="81">
      <x:c r="A81" s="89"/>
      <x:c r="B81" s="58"/>
      <x:c r="C81" s="58"/>
      <x:c r="D81" s="91"/>
      <x:c r="E81" s="58"/>
    </x:row>
    <x:row r="82">
      <x:c r="A82" s="89"/>
      <x:c r="B82" s="58"/>
      <x:c r="C82" s="58"/>
      <x:c r="D82" s="91"/>
      <x:c r="E82" s="58"/>
    </x:row>
    <x:row r="83">
      <x:c r="A83" s="89"/>
      <x:c r="B83" s="58"/>
      <x:c r="C83" s="58"/>
      <x:c r="D83" s="91"/>
      <x:c r="E83" s="58"/>
    </x:row>
    <x:row r="84">
      <x:c r="A84" s="89"/>
      <x:c r="B84" s="58"/>
      <x:c r="C84" s="58"/>
      <x:c r="D84" s="91"/>
      <x:c r="E84" s="58"/>
    </x:row>
    <x:row r="85">
      <x:c r="A85" s="89"/>
      <x:c r="B85" s="58"/>
      <x:c r="C85" s="58"/>
      <x:c r="D85" s="91"/>
      <x:c r="E85" s="58"/>
    </x:row>
    <x:row r="86">
      <x:c r="A86" s="89"/>
      <x:c r="B86" s="58"/>
      <x:c r="C86" s="58"/>
      <x:c r="D86" s="91"/>
      <x:c r="E86" s="58"/>
    </x:row>
    <x:row r="87">
      <x:c r="A87" s="89"/>
      <x:c r="B87" s="58"/>
      <x:c r="C87" s="58"/>
      <x:c r="D87" s="91"/>
      <x:c r="E87" s="58"/>
    </x:row>
    <x:row r="88">
      <x:c r="A88" s="89"/>
      <x:c r="B88" s="58"/>
      <x:c r="C88" s="58"/>
      <x:c r="D88" s="91"/>
      <x:c r="E88" s="58"/>
    </x:row>
    <x:row r="89">
      <x:c r="A89" s="89"/>
      <x:c r="B89" s="58"/>
      <x:c r="C89" s="58"/>
      <x:c r="D89" s="91"/>
      <x:c r="E89" s="58"/>
    </x:row>
    <x:row r="90">
      <x:c r="A90" s="89"/>
      <x:c r="B90" s="58"/>
      <x:c r="C90" s="58"/>
      <x:c r="D90" s="91"/>
      <x:c r="E90" s="58"/>
    </x:row>
    <x:row r="91">
      <x:c r="A91" s="89"/>
      <x:c r="B91" s="58"/>
      <x:c r="C91" s="58"/>
      <x:c r="D91" s="91"/>
      <x:c r="E91" s="58"/>
    </x:row>
    <x:row r="92">
      <x:c r="A92" s="89"/>
      <x:c r="B92" s="58"/>
      <x:c r="C92" s="58"/>
      <x:c r="D92" s="91"/>
      <x:c r="E92" s="58"/>
    </x:row>
    <x:row r="93">
      <x:c r="A93" s="89"/>
      <x:c r="B93" s="58"/>
      <x:c r="C93" s="58"/>
      <x:c r="D93" s="91"/>
      <x:c r="E93" s="58"/>
    </x:row>
    <x:row r="94">
      <x:c r="A94" s="89"/>
      <x:c r="B94" s="58"/>
      <x:c r="C94" s="58"/>
      <x:c r="D94" s="91"/>
      <x:c r="E94" s="58"/>
    </x:row>
    <x:row r="95">
      <x:c r="A95" s="89"/>
      <x:c r="B95" s="58"/>
      <x:c r="C95" s="58"/>
      <x:c r="D95" s="91"/>
      <x:c r="E95" s="58"/>
    </x:row>
    <x:row r="96">
      <x:c r="A96" s="89"/>
      <x:c r="B96" s="58"/>
      <x:c r="C96" s="58"/>
      <x:c r="D96" s="91"/>
      <x:c r="E96" s="58"/>
    </x:row>
    <x:row r="97">
      <x:c r="A97" s="89"/>
      <x:c r="B97" s="58"/>
      <x:c r="C97" s="58"/>
      <x:c r="D97" s="91"/>
      <x:c r="E97" s="58"/>
    </x:row>
    <x:row r="98">
      <x:c r="A98" s="89"/>
      <x:c r="B98" s="58"/>
      <x:c r="C98" s="58"/>
      <x:c r="D98" s="91"/>
      <x:c r="E98" s="58"/>
    </x:row>
    <x:row r="99">
      <x:c r="A99" s="89"/>
      <x:c r="B99" s="58"/>
      <x:c r="C99" s="58"/>
      <x:c r="D99" s="91"/>
      <x:c r="E99" s="58"/>
    </x:row>
    <x:row r="100">
      <x:c r="A100" s="89"/>
      <x:c r="B100" s="58"/>
      <x:c r="C100" s="58"/>
      <x:c r="D100" s="91"/>
      <x:c r="E100" s="58"/>
    </x:row>
    <x:row r="101">
      <x:c r="A101" s="89"/>
      <x:c r="B101" s="58"/>
      <x:c r="C101" s="58"/>
      <x:c r="D101" s="91"/>
      <x:c r="E101" s="58"/>
    </x:row>
    <x:row r="102">
      <x:c r="A102" s="89"/>
      <x:c r="B102" s="58"/>
      <x:c r="C102" s="58"/>
      <x:c r="D102" s="91"/>
      <x:c r="E102" s="58"/>
    </x:row>
    <x:row r="103">
      <x:c r="A103" s="89"/>
      <x:c r="B103" s="58"/>
      <x:c r="C103" s="58"/>
      <x:c r="D103" s="91"/>
      <x:c r="E103" s="58"/>
    </x:row>
    <x:row r="104">
      <x:c r="A104" s="89"/>
      <x:c r="B104" s="58"/>
      <x:c r="C104" s="58"/>
      <x:c r="D104" s="91"/>
      <x:c r="E104" s="58"/>
    </x:row>
    <x:row r="105">
      <x:c r="A105" s="89"/>
      <x:c r="B105" s="58"/>
      <x:c r="C105" s="58"/>
      <x:c r="D105" s="91"/>
      <x:c r="E105" s="58"/>
    </x:row>
    <x:row r="106">
      <x:c r="A106" s="89"/>
      <x:c r="B106" s="58"/>
      <x:c r="C106" s="58"/>
      <x:c r="D106" s="91"/>
      <x:c r="E106" s="58"/>
    </x:row>
    <x:row r="107">
      <x:c r="A107" s="89"/>
      <x:c r="B107" s="58"/>
      <x:c r="C107" s="58"/>
      <x:c r="D107" s="91"/>
      <x:c r="E107" s="58"/>
    </x:row>
    <x:row r="108">
      <x:c r="A108" s="89"/>
      <x:c r="B108" s="58"/>
      <x:c r="C108" s="58"/>
      <x:c r="D108" s="91"/>
      <x:c r="E108" s="58"/>
    </x:row>
    <x:row r="109">
      <x:c r="A109" s="89"/>
      <x:c r="B109" s="58"/>
      <x:c r="C109" s="58"/>
      <x:c r="D109" s="91"/>
      <x:c r="E109" s="58"/>
    </x:row>
    <x:row r="110">
      <x:c r="A110" s="89"/>
      <x:c r="B110" s="58"/>
      <x:c r="C110" s="58"/>
      <x:c r="D110" s="91"/>
      <x:c r="E110" s="58"/>
    </x:row>
    <x:row r="111">
      <x:c r="A111" s="89"/>
      <x:c r="B111" s="58"/>
      <x:c r="C111" s="58"/>
      <x:c r="D111" s="91"/>
      <x:c r="E111" s="58"/>
    </x:row>
    <x:row r="112">
      <x:c r="A112" s="89"/>
      <x:c r="B112" s="58"/>
      <x:c r="C112" s="58"/>
      <x:c r="D112" s="91"/>
      <x:c r="E112" s="58"/>
    </x:row>
    <x:row r="113">
      <x:c r="A113" s="89"/>
      <x:c r="B113" s="58"/>
      <x:c r="C113" s="58"/>
      <x:c r="D113" s="91"/>
      <x:c r="E113" s="58"/>
    </x:row>
    <x:row r="114">
      <x:c r="A114" s="89"/>
      <x:c r="B114" s="58"/>
      <x:c r="C114" s="58"/>
      <x:c r="D114" s="91"/>
      <x:c r="E114" s="58"/>
    </x:row>
    <x:row r="115">
      <x:c r="A115" s="89"/>
      <x:c r="B115" s="58"/>
      <x:c r="C115" s="58"/>
      <x:c r="D115" s="91"/>
      <x:c r="E115" s="58"/>
    </x:row>
    <x:row r="116">
      <x:c r="A116" s="89"/>
      <x:c r="B116" s="58"/>
      <x:c r="C116" s="58"/>
      <x:c r="D116" s="91"/>
      <x:c r="E116" s="58"/>
    </x:row>
    <x:row r="117">
      <x:c r="A117" s="89"/>
      <x:c r="B117" s="58"/>
      <x:c r="C117" s="58"/>
      <x:c r="D117" s="91"/>
      <x:c r="E117" s="58"/>
    </x:row>
    <x:row r="118">
      <x:c r="A118" s="89"/>
      <x:c r="B118" s="58"/>
      <x:c r="C118" s="58"/>
      <x:c r="D118" s="91"/>
      <x:c r="E118" s="58"/>
    </x:row>
    <x:row r="119">
      <x:c r="A119" s="89"/>
      <x:c r="B119" s="58"/>
      <x:c r="C119" s="58"/>
      <x:c r="D119" s="91"/>
      <x:c r="E119" s="58"/>
    </x:row>
    <x:row r="120">
      <x:c r="A120" s="89"/>
      <x:c r="B120" s="58"/>
      <x:c r="C120" s="58"/>
      <x:c r="D120" s="91"/>
      <x:c r="E120" s="58"/>
    </x:row>
    <x:row r="121">
      <x:c r="A121" s="89"/>
      <x:c r="B121" s="58"/>
      <x:c r="C121" s="58"/>
      <x:c r="D121" s="91"/>
      <x:c r="E121" s="58"/>
    </x:row>
    <x:row r="122">
      <x:c r="A122" s="89"/>
      <x:c r="B122" s="58"/>
      <x:c r="C122" s="58"/>
      <x:c r="D122" s="91"/>
      <x:c r="E122" s="58"/>
    </x:row>
    <x:row r="123">
      <x:c r="A123" s="89"/>
      <x:c r="B123" s="58"/>
      <x:c r="C123" s="58"/>
      <x:c r="D123" s="91"/>
      <x:c r="E123" s="58"/>
    </x:row>
    <x:row r="124">
      <x:c r="A124" s="89"/>
      <x:c r="B124" s="58"/>
      <x:c r="C124" s="58"/>
      <x:c r="D124" s="91"/>
      <x:c r="E124" s="58"/>
    </x:row>
    <x:row r="125">
      <x:c r="A125" s="89"/>
      <x:c r="B125" s="58"/>
      <x:c r="C125" s="58"/>
      <x:c r="D125" s="91"/>
      <x:c r="E125" s="58"/>
    </x:row>
    <x:row r="126">
      <x:c r="A126" s="89"/>
      <x:c r="B126" s="58"/>
      <x:c r="C126" s="58"/>
      <x:c r="D126" s="91"/>
      <x:c r="E126" s="58"/>
    </x:row>
    <x:row r="127">
      <x:c r="A127" s="89"/>
      <x:c r="B127" s="58"/>
      <x:c r="C127" s="58"/>
      <x:c r="D127" s="91"/>
      <x:c r="E127" s="58"/>
    </x:row>
    <x:row r="128">
      <x:c r="A128" s="89"/>
      <x:c r="B128" s="58"/>
      <x:c r="C128" s="58"/>
      <x:c r="D128" s="91"/>
      <x:c r="E128" s="58"/>
    </x:row>
    <x:row r="129">
      <x:c r="A129" s="89"/>
      <x:c r="B129" s="58"/>
      <x:c r="C129" s="58"/>
      <x:c r="D129" s="91"/>
      <x:c r="E129" s="58"/>
    </x:row>
    <x:row r="130">
      <x:c r="A130" s="89"/>
      <x:c r="B130" s="58"/>
      <x:c r="C130" s="58"/>
      <x:c r="D130" s="91"/>
      <x:c r="E130" s="58"/>
    </x:row>
    <x:row r="131">
      <x:c r="A131" s="89"/>
      <x:c r="B131" s="58"/>
      <x:c r="C131" s="58"/>
      <x:c r="D131" s="91"/>
      <x:c r="E131" s="58"/>
    </x:row>
    <x:row r="132">
      <x:c r="A132" s="89"/>
      <x:c r="B132" s="58"/>
      <x:c r="C132" s="58"/>
      <x:c r="D132" s="91"/>
      <x:c r="E132" s="58"/>
    </x:row>
    <x:row r="133">
      <x:c r="A133" s="89"/>
      <x:c r="B133" s="58"/>
      <x:c r="C133" s="58"/>
      <x:c r="D133" s="91"/>
      <x:c r="E133" s="58"/>
    </x:row>
    <x:row r="134">
      <x:c r="A134" s="89"/>
      <x:c r="B134" s="58"/>
      <x:c r="C134" s="58"/>
      <x:c r="D134" s="91"/>
      <x:c r="E134" s="58"/>
    </x:row>
    <x:row r="135">
      <x:c r="A135" s="89"/>
      <x:c r="B135" s="58"/>
      <x:c r="C135" s="58"/>
      <x:c r="D135" s="91"/>
      <x:c r="E135" s="58"/>
    </x:row>
    <x:row r="136">
      <x:c r="A136" s="89"/>
      <x:c r="B136" s="58"/>
      <x:c r="C136" s="58"/>
      <x:c r="D136" s="91"/>
      <x:c r="E136" s="58"/>
    </x:row>
    <x:row r="137">
      <x:c r="A137" s="89"/>
      <x:c r="B137" s="58"/>
      <x:c r="C137" s="58"/>
      <x:c r="D137" s="91"/>
      <x:c r="E137" s="58"/>
    </x:row>
    <x:row r="138">
      <x:c r="A138" s="89"/>
      <x:c r="B138" s="58"/>
      <x:c r="C138" s="58"/>
      <x:c r="D138" s="91"/>
      <x:c r="E138" s="58"/>
    </x:row>
    <x:row r="139">
      <x:c r="A139" s="89"/>
      <x:c r="B139" s="58"/>
      <x:c r="C139" s="58"/>
      <x:c r="D139" s="91"/>
      <x:c r="E139" s="58"/>
    </x:row>
    <x:row r="140">
      <x:c r="A140" s="89"/>
      <x:c r="B140" s="58"/>
      <x:c r="C140" s="58"/>
      <x:c r="D140" s="91"/>
      <x:c r="E140" s="58"/>
    </x:row>
    <x:row r="141">
      <x:c r="A141" s="89"/>
      <x:c r="B141" s="58"/>
      <x:c r="C141" s="58"/>
      <x:c r="D141" s="91"/>
      <x:c r="E141" s="58"/>
    </x:row>
    <x:row r="142">
      <x:c r="A142" s="89"/>
      <x:c r="B142" s="58"/>
      <x:c r="C142" s="58"/>
      <x:c r="D142" s="91"/>
      <x:c r="E142" s="58"/>
    </x:row>
    <x:row r="143">
      <x:c r="A143" s="89"/>
      <x:c r="B143" s="58"/>
      <x:c r="C143" s="58"/>
      <x:c r="D143" s="91"/>
      <x:c r="E143" s="58"/>
    </x:row>
    <x:row r="144">
      <x:c r="A144" s="89"/>
      <x:c r="B144" s="58"/>
      <x:c r="C144" s="58"/>
      <x:c r="D144" s="91"/>
      <x:c r="E144" s="58"/>
    </x:row>
    <x:row r="145">
      <x:c r="A145" s="89"/>
      <x:c r="B145" s="58"/>
      <x:c r="C145" s="58"/>
      <x:c r="D145" s="91"/>
      <x:c r="E145" s="58"/>
    </x:row>
    <x:row r="146">
      <x:c r="A146" s="89"/>
      <x:c r="B146" s="58"/>
      <x:c r="C146" s="58"/>
      <x:c r="D146" s="91"/>
      <x:c r="E146" s="58"/>
    </x:row>
    <x:row r="147">
      <x:c r="A147" s="89"/>
      <x:c r="B147" s="58"/>
      <x:c r="C147" s="58"/>
      <x:c r="D147" s="91"/>
      <x:c r="E147" s="58"/>
    </x:row>
    <x:row r="148">
      <x:c r="A148" s="89"/>
      <x:c r="B148" s="58"/>
      <x:c r="C148" s="58"/>
      <x:c r="D148" s="91"/>
      <x:c r="E148" s="58"/>
    </x:row>
    <x:row r="149">
      <x:c r="A149" s="89"/>
      <x:c r="B149" s="58"/>
      <x:c r="C149" s="58"/>
      <x:c r="D149" s="91"/>
      <x:c r="E149" s="58"/>
    </x:row>
    <x:row r="150">
      <x:c r="A150" s="89"/>
      <x:c r="B150" s="58"/>
      <x:c r="C150" s="58"/>
      <x:c r="D150" s="91"/>
      <x:c r="E150" s="58"/>
    </x:row>
    <x:row r="151">
      <x:c r="A151" s="89"/>
      <x:c r="B151" s="58"/>
      <x:c r="C151" s="58"/>
      <x:c r="D151" s="91"/>
      <x:c r="E151" s="58"/>
    </x:row>
    <x:row r="152">
      <x:c r="A152" s="89"/>
      <x:c r="B152" s="58"/>
      <x:c r="C152" s="58"/>
      <x:c r="D152" s="91"/>
      <x:c r="E152" s="58"/>
    </x:row>
    <x:row r="153">
      <x:c r="A153" s="89"/>
      <x:c r="B153" s="58"/>
      <x:c r="C153" s="58"/>
      <x:c r="D153" s="91"/>
      <x:c r="E153" s="58"/>
    </x:row>
    <x:row r="154">
      <x:c r="A154" s="89"/>
      <x:c r="B154" s="58"/>
      <x:c r="C154" s="58"/>
      <x:c r="D154" s="91"/>
      <x:c r="E154" s="58"/>
    </x:row>
    <x:row r="155">
      <x:c r="A155" s="89"/>
      <x:c r="B155" s="58"/>
      <x:c r="C155" s="58"/>
      <x:c r="D155" s="91"/>
      <x:c r="E155" s="58"/>
    </x:row>
    <x:row r="156">
      <x:c r="A156" s="89"/>
      <x:c r="B156" s="58"/>
      <x:c r="C156" s="58"/>
      <x:c r="D156" s="91"/>
      <x:c r="E156" s="58"/>
    </x:row>
    <x:row r="157">
      <x:c r="A157" s="89"/>
      <x:c r="B157" s="58"/>
      <x:c r="C157" s="58"/>
      <x:c r="D157" s="91"/>
      <x:c r="E157" s="58"/>
    </x:row>
    <x:row r="158">
      <x:c r="A158" s="89"/>
      <x:c r="B158" s="58"/>
      <x:c r="C158" s="58"/>
      <x:c r="D158" s="91"/>
      <x:c r="E158" s="58"/>
    </x:row>
    <x:row r="159">
      <x:c r="A159" s="89"/>
      <x:c r="B159" s="58"/>
      <x:c r="C159" s="58"/>
      <x:c r="D159" s="91"/>
      <x:c r="E159" s="58"/>
    </x:row>
    <x:row r="160">
      <x:c r="A160" s="89"/>
      <x:c r="B160" s="58"/>
      <x:c r="C160" s="58"/>
      <x:c r="D160" s="91"/>
      <x:c r="E160" s="58"/>
    </x:row>
    <x:row r="161">
      <x:c r="A161" s="89"/>
      <x:c r="B161" s="58"/>
      <x:c r="C161" s="58"/>
      <x:c r="D161" s="91"/>
      <x:c r="E161" s="58"/>
    </x:row>
    <x:row r="162">
      <x:c r="A162" s="89"/>
      <x:c r="B162" s="58"/>
      <x:c r="C162" s="58"/>
      <x:c r="D162" s="91"/>
      <x:c r="E162" s="58"/>
    </x:row>
    <x:row r="163">
      <x:c r="A163" s="89"/>
      <x:c r="B163" s="58"/>
      <x:c r="C163" s="58"/>
      <x:c r="D163" s="91"/>
      <x:c r="E163" s="58"/>
    </x:row>
    <x:row r="164">
      <x:c r="A164" s="89"/>
      <x:c r="B164" s="58"/>
      <x:c r="C164" s="58"/>
      <x:c r="D164" s="91"/>
      <x:c r="E164" s="58"/>
    </x:row>
    <x:row r="165">
      <x:c r="A165" s="89"/>
      <x:c r="B165" s="58"/>
      <x:c r="C165" s="58"/>
      <x:c r="D165" s="91"/>
      <x:c r="E165" s="58"/>
    </x:row>
    <x:row r="166">
      <x:c r="A166" s="89"/>
      <x:c r="B166" s="58"/>
      <x:c r="C166" s="58"/>
      <x:c r="D166" s="91"/>
      <x:c r="E166" s="58"/>
    </x:row>
    <x:row r="167">
      <x:c r="A167" s="89"/>
      <x:c r="B167" s="58"/>
      <x:c r="C167" s="58"/>
      <x:c r="D167" s="91"/>
      <x:c r="E167" s="58"/>
    </x:row>
    <x:row r="168">
      <x:c r="A168" s="89"/>
      <x:c r="B168" s="58"/>
      <x:c r="C168" s="58"/>
      <x:c r="D168" s="91"/>
      <x:c r="E168" s="58"/>
    </x:row>
    <x:row r="169">
      <x:c r="A169" s="89"/>
      <x:c r="B169" s="58"/>
      <x:c r="C169" s="58"/>
      <x:c r="D169" s="91"/>
      <x:c r="E169" s="58"/>
    </x:row>
    <x:row r="170">
      <x:c r="A170" s="89"/>
      <x:c r="B170" s="58"/>
      <x:c r="C170" s="58"/>
      <x:c r="D170" s="91"/>
      <x:c r="E170" s="58"/>
    </x:row>
    <x:row r="171">
      <x:c r="A171" s="89"/>
      <x:c r="B171" s="58"/>
      <x:c r="C171" s="58"/>
      <x:c r="D171" s="91"/>
      <x:c r="E171" s="58"/>
    </x:row>
    <x:row r="172">
      <x:c r="A172" s="89"/>
      <x:c r="B172" s="58"/>
      <x:c r="C172" s="58"/>
      <x:c r="D172" s="91"/>
      <x:c r="E172" s="58"/>
    </x:row>
    <x:row r="173">
      <x:c r="A173" s="89"/>
      <x:c r="B173" s="58"/>
      <x:c r="C173" s="58"/>
      <x:c r="D173" s="91"/>
      <x:c r="E173" s="58"/>
    </x:row>
    <x:row r="174">
      <x:c r="A174" s="89"/>
      <x:c r="B174" s="58"/>
      <x:c r="C174" s="58"/>
      <x:c r="D174" s="91"/>
      <x:c r="E174" s="58"/>
    </x:row>
    <x:row r="175">
      <x:c r="A175" s="89"/>
      <x:c r="B175" s="58"/>
      <x:c r="C175" s="58"/>
      <x:c r="D175" s="91"/>
      <x:c r="E175" s="58"/>
    </x:row>
    <x:row r="176">
      <x:c r="A176" s="89"/>
      <x:c r="B176" s="58"/>
      <x:c r="C176" s="58"/>
      <x:c r="D176" s="91"/>
      <x:c r="E176" s="58"/>
    </x:row>
    <x:row r="177">
      <x:c r="A177" s="89"/>
      <x:c r="B177" s="58"/>
      <x:c r="C177" s="58"/>
      <x:c r="D177" s="91"/>
      <x:c r="E177" s="58"/>
    </x:row>
    <x:row r="178">
      <x:c r="A178" s="89"/>
      <x:c r="B178" s="58"/>
      <x:c r="C178" s="58"/>
      <x:c r="D178" s="91"/>
      <x:c r="E178" s="58"/>
    </x:row>
    <x:row r="179">
      <x:c r="A179" s="89"/>
      <x:c r="B179" s="58"/>
      <x:c r="C179" s="58"/>
      <x:c r="D179" s="91"/>
      <x:c r="E179" s="58"/>
    </x:row>
    <x:row r="180">
      <x:c r="A180" s="89"/>
      <x:c r="B180" s="58"/>
      <x:c r="C180" s="58"/>
      <x:c r="D180" s="91"/>
      <x:c r="E180" s="58"/>
    </x:row>
    <x:row r="181">
      <x:c r="A181" s="89"/>
      <x:c r="B181" s="58"/>
      <x:c r="C181" s="58"/>
      <x:c r="D181" s="91"/>
      <x:c r="E181" s="58"/>
    </x:row>
    <x:row r="182">
      <x:c r="A182" s="89"/>
      <x:c r="B182" s="58"/>
      <x:c r="C182" s="58"/>
      <x:c r="D182" s="91"/>
      <x:c r="E182" s="58"/>
    </x:row>
    <x:row r="183">
      <x:c r="A183" s="89"/>
      <x:c r="B183" s="58"/>
      <x:c r="C183" s="58"/>
      <x:c r="D183" s="91"/>
      <x:c r="E183" s="58"/>
    </x:row>
    <x:row r="184">
      <x:c r="A184" s="89"/>
      <x:c r="B184" s="58"/>
      <x:c r="C184" s="58"/>
      <x:c r="D184" s="91"/>
      <x:c r="E184" s="58"/>
    </x:row>
    <x:row r="185">
      <x:c r="A185" s="89"/>
      <x:c r="B185" s="58"/>
      <x:c r="C185" s="58"/>
      <x:c r="D185" s="91"/>
      <x:c r="E185" s="58"/>
    </x:row>
    <x:row r="186">
      <x:c r="A186" s="89"/>
      <x:c r="B186" s="58"/>
      <x:c r="C186" s="58"/>
      <x:c r="D186" s="91"/>
      <x:c r="E186" s="58"/>
    </x:row>
    <x:row r="187">
      <x:c r="A187" s="89"/>
      <x:c r="B187" s="58"/>
      <x:c r="C187" s="58"/>
      <x:c r="D187" s="91"/>
      <x:c r="E187" s="58"/>
    </x:row>
    <x:row r="188">
      <x:c r="A188" s="89"/>
      <x:c r="B188" s="58"/>
      <x:c r="C188" s="58"/>
      <x:c r="D188" s="91"/>
      <x:c r="E188" s="58"/>
    </x:row>
    <x:row r="189">
      <x:c r="A189" s="89"/>
      <x:c r="B189" s="58"/>
      <x:c r="C189" s="58"/>
      <x:c r="D189" s="91"/>
      <x:c r="E189" s="58"/>
    </x:row>
    <x:row r="190">
      <x:c r="A190" s="89"/>
      <x:c r="B190" s="58"/>
      <x:c r="C190" s="58"/>
      <x:c r="D190" s="91"/>
      <x:c r="E190" s="58"/>
    </x:row>
    <x:row r="191">
      <x:c r="A191" s="89"/>
      <x:c r="B191" s="58"/>
      <x:c r="C191" s="58"/>
      <x:c r="D191" s="91"/>
      <x:c r="E191" s="58"/>
    </x:row>
    <x:row r="192">
      <x:c r="A192" s="89"/>
      <x:c r="B192" s="58"/>
      <x:c r="C192" s="58"/>
      <x:c r="D192" s="91"/>
      <x:c r="E192" s="58"/>
    </x:row>
    <x:row r="193">
      <x:c r="A193" s="89"/>
      <x:c r="B193" s="58"/>
      <x:c r="C193" s="58"/>
      <x:c r="D193" s="91"/>
      <x:c r="E193" s="58"/>
    </x:row>
    <x:row r="194">
      <x:c r="A194" s="89"/>
      <x:c r="B194" s="58"/>
      <x:c r="C194" s="58"/>
      <x:c r="D194" s="91"/>
      <x:c r="E194" s="58"/>
    </x:row>
    <x:row r="195">
      <x:c r="A195" s="89"/>
      <x:c r="B195" s="58"/>
      <x:c r="C195" s="58"/>
      <x:c r="D195" s="91"/>
      <x:c r="E195" s="58"/>
    </x:row>
    <x:row r="196">
      <x:c r="A196" s="89"/>
      <x:c r="B196" s="58"/>
      <x:c r="C196" s="58"/>
      <x:c r="D196" s="91"/>
      <x:c r="E196" s="58"/>
    </x:row>
    <x:row r="197">
      <x:c r="A197" s="89"/>
      <x:c r="B197" s="58"/>
      <x:c r="C197" s="58"/>
      <x:c r="D197" s="91"/>
      <x:c r="E197" s="58"/>
    </x:row>
    <x:row r="198">
      <x:c r="A198" s="89"/>
      <x:c r="B198" s="58"/>
      <x:c r="C198" s="58"/>
      <x:c r="D198" s="91"/>
      <x:c r="E198" s="58"/>
    </x:row>
    <x:row r="199">
      <x:c r="A199" s="89"/>
      <x:c r="B199" s="58"/>
      <x:c r="C199" s="58"/>
      <x:c r="D199" s="91"/>
      <x:c r="E199" s="58"/>
    </x:row>
    <x:row r="200">
      <x:c r="A200" s="89"/>
      <x:c r="B200" s="58"/>
      <x:c r="C200" s="58"/>
      <x:c r="D200" s="91"/>
      <x:c r="E200" s="58"/>
    </x:row>
    <x:row r="201">
      <x:c r="A201" s="89"/>
      <x:c r="B201" s="58"/>
      <x:c r="C201" s="58"/>
      <x:c r="D201" s="91"/>
      <x:c r="E201" s="58"/>
    </x:row>
    <x:row r="202">
      <x:c r="A202" s="89"/>
      <x:c r="B202" s="58"/>
      <x:c r="C202" s="58"/>
      <x:c r="D202" s="91"/>
      <x:c r="E202" s="58"/>
    </x:row>
    <x:row r="203">
      <x:c r="A203" s="89"/>
      <x:c r="B203" s="58"/>
      <x:c r="C203" s="58"/>
      <x:c r="D203" s="91"/>
      <x:c r="E203" s="58"/>
    </x:row>
    <x:row r="204">
      <x:c r="A204" s="89"/>
      <x:c r="B204" s="58"/>
      <x:c r="C204" s="58"/>
      <x:c r="D204" s="91"/>
      <x:c r="E204" s="58"/>
    </x:row>
    <x:row r="205">
      <x:c r="A205" s="89"/>
      <x:c r="B205" s="58"/>
      <x:c r="C205" s="58"/>
      <x:c r="D205" s="91"/>
      <x:c r="E205" s="58"/>
    </x:row>
    <x:row r="206">
      <x:c r="A206" s="89"/>
      <x:c r="B206" s="58"/>
      <x:c r="C206" s="58"/>
      <x:c r="D206" s="91"/>
      <x:c r="E206" s="58"/>
    </x:row>
    <x:row r="207">
      <x:c r="A207" s="89"/>
      <x:c r="B207" s="58"/>
      <x:c r="C207" s="58"/>
      <x:c r="D207" s="91"/>
      <x:c r="E207" s="58"/>
    </x:row>
    <x:row r="208">
      <x:c r="A208" s="89"/>
      <x:c r="B208" s="58"/>
      <x:c r="C208" s="58"/>
      <x:c r="D208" s="91"/>
      <x:c r="E208" s="58"/>
    </x:row>
    <x:row r="209">
      <x:c r="A209" s="89"/>
      <x:c r="B209" s="58"/>
      <x:c r="C209" s="58"/>
      <x:c r="D209" s="91"/>
      <x:c r="E209" s="58"/>
    </x:row>
    <x:row r="210">
      <x:c r="A210" s="89"/>
      <x:c r="B210" s="58"/>
      <x:c r="C210" s="58"/>
      <x:c r="D210" s="91"/>
      <x:c r="E210" s="58"/>
    </x:row>
    <x:row r="211">
      <x:c r="A211" s="89"/>
      <x:c r="B211" s="58"/>
      <x:c r="C211" s="58"/>
      <x:c r="D211" s="91"/>
      <x:c r="E211" s="58"/>
    </x:row>
    <x:row r="212">
      <x:c r="A212" s="89"/>
      <x:c r="B212" s="58"/>
      <x:c r="C212" s="58"/>
      <x:c r="D212" s="91"/>
      <x:c r="E212" s="58"/>
    </x:row>
    <x:row r="213">
      <x:c r="A213" s="89"/>
      <x:c r="B213" s="58"/>
      <x:c r="C213" s="58"/>
      <x:c r="D213" s="91"/>
      <x:c r="E213" s="58"/>
    </x:row>
    <x:row r="214">
      <x:c r="A214" s="89"/>
      <x:c r="B214" s="58"/>
      <x:c r="C214" s="58"/>
      <x:c r="D214" s="91"/>
      <x:c r="E214" s="58"/>
    </x:row>
    <x:row r="215">
      <x:c r="A215" s="89"/>
      <x:c r="B215" s="58"/>
      <x:c r="C215" s="58"/>
      <x:c r="D215" s="91"/>
      <x:c r="E215" s="58"/>
    </x:row>
    <x:row r="216">
      <x:c r="A216" s="89"/>
      <x:c r="B216" s="58"/>
      <x:c r="C216" s="58"/>
      <x:c r="D216" s="91"/>
      <x:c r="E216" s="58"/>
    </x:row>
    <x:row r="217">
      <x:c r="A217" s="89"/>
      <x:c r="B217" s="58"/>
      <x:c r="C217" s="58"/>
      <x:c r="D217" s="91"/>
      <x:c r="E217" s="58"/>
    </x:row>
    <x:row r="218">
      <x:c r="A218" s="89"/>
      <x:c r="B218" s="58"/>
      <x:c r="C218" s="58"/>
      <x:c r="D218" s="91"/>
      <x:c r="E218" s="58"/>
    </x:row>
    <x:row r="219">
      <x:c r="A219" s="89"/>
      <x:c r="B219" s="58"/>
      <x:c r="C219" s="58"/>
      <x:c r="D219" s="91"/>
      <x:c r="E219" s="58"/>
    </x:row>
    <x:row r="220">
      <x:c r="A220" s="89"/>
      <x:c r="B220" s="58"/>
      <x:c r="C220" s="58"/>
      <x:c r="D220" s="91"/>
      <x:c r="E220" s="58"/>
    </x:row>
    <x:row r="221">
      <x:c r="A221" s="89"/>
      <x:c r="B221" s="58"/>
      <x:c r="C221" s="58"/>
      <x:c r="D221" s="91"/>
      <x:c r="E221" s="58"/>
    </x:row>
    <x:row r="222">
      <x:c r="A222" s="89"/>
      <x:c r="B222" s="58"/>
      <x:c r="C222" s="58"/>
      <x:c r="D222" s="91"/>
      <x:c r="E222" s="58"/>
    </x:row>
    <x:row r="223">
      <x:c r="A223" s="89"/>
      <x:c r="B223" s="58"/>
      <x:c r="C223" s="58"/>
      <x:c r="D223" s="91"/>
      <x:c r="E223" s="58"/>
    </x:row>
    <x:row r="224">
      <x:c r="A224" s="89"/>
      <x:c r="B224" s="58"/>
      <x:c r="C224" s="58"/>
      <x:c r="D224" s="91"/>
      <x:c r="E224" s="58"/>
    </x:row>
    <x:row r="225">
      <x:c r="A225" s="89"/>
      <x:c r="B225" s="58"/>
      <x:c r="C225" s="58"/>
      <x:c r="D225" s="91"/>
      <x:c r="E225" s="58"/>
    </x:row>
    <x:row r="226">
      <x:c r="A226" s="89"/>
      <x:c r="B226" s="58"/>
      <x:c r="C226" s="58"/>
      <x:c r="D226" s="91"/>
      <x:c r="E226" s="58"/>
    </x:row>
    <x:row r="227">
      <x:c r="A227" s="89"/>
      <x:c r="B227" s="58"/>
      <x:c r="C227" s="58"/>
      <x:c r="D227" s="91"/>
      <x:c r="E227" s="58"/>
    </x:row>
    <x:row r="228">
      <x:c r="A228" s="89"/>
      <x:c r="B228" s="58"/>
      <x:c r="C228" s="58"/>
      <x:c r="D228" s="91"/>
      <x:c r="E228" s="58"/>
    </x:row>
    <x:row r="229">
      <x:c r="A229" s="89"/>
      <x:c r="B229" s="58"/>
      <x:c r="C229" s="58"/>
      <x:c r="D229" s="91"/>
      <x:c r="E229" s="58"/>
    </x:row>
    <x:row r="230">
      <x:c r="A230" s="89"/>
      <x:c r="B230" s="58"/>
      <x:c r="C230" s="58"/>
      <x:c r="D230" s="91"/>
      <x:c r="E230" s="58"/>
    </x:row>
    <x:row r="231">
      <x:c r="A231" s="89"/>
      <x:c r="B231" s="58"/>
      <x:c r="C231" s="58"/>
      <x:c r="D231" s="91"/>
      <x:c r="E231" s="58"/>
    </x:row>
    <x:row r="232">
      <x:c r="A232" s="89"/>
      <x:c r="B232" s="58"/>
      <x:c r="C232" s="58"/>
      <x:c r="D232" s="91"/>
      <x:c r="E232" s="58"/>
    </x:row>
    <x:row r="233">
      <x:c r="A233" s="89"/>
      <x:c r="B233" s="58"/>
      <x:c r="C233" s="58"/>
      <x:c r="D233" s="91"/>
      <x:c r="E233" s="58"/>
    </x:row>
    <x:row r="234">
      <x:c r="A234" s="89"/>
      <x:c r="B234" s="58"/>
      <x:c r="C234" s="58"/>
      <x:c r="D234" s="91"/>
      <x:c r="E234" s="58"/>
    </x:row>
    <x:row r="235">
      <x:c r="A235" s="89"/>
      <x:c r="B235" s="58"/>
      <x:c r="C235" s="58"/>
      <x:c r="D235" s="91"/>
      <x:c r="E235" s="58"/>
    </x:row>
    <x:row r="236">
      <x:c r="A236" s="89"/>
      <x:c r="B236" s="58"/>
      <x:c r="C236" s="58"/>
      <x:c r="D236" s="91"/>
      <x:c r="E236" s="58"/>
    </x:row>
    <x:row r="237">
      <x:c r="A237" s="89"/>
      <x:c r="B237" s="58"/>
      <x:c r="C237" s="58"/>
      <x:c r="D237" s="91"/>
      <x:c r="E237" s="58"/>
    </x:row>
    <x:row r="238">
      <x:c r="A238" s="89"/>
      <x:c r="B238" s="58"/>
      <x:c r="C238" s="58"/>
      <x:c r="D238" s="91"/>
      <x:c r="E238" s="58"/>
    </x:row>
    <x:row r="239">
      <x:c r="A239" s="89"/>
      <x:c r="B239" s="58"/>
      <x:c r="C239" s="58"/>
      <x:c r="D239" s="91"/>
      <x:c r="E239" s="58"/>
    </x:row>
    <x:row r="240">
      <x:c r="A240" s="89"/>
      <x:c r="B240" s="58"/>
      <x:c r="C240" s="58"/>
      <x:c r="D240" s="91"/>
      <x:c r="E240" s="58"/>
    </x:row>
    <x:row r="241">
      <x:c r="A241" s="89"/>
      <x:c r="B241" s="58"/>
      <x:c r="C241" s="58"/>
      <x:c r="D241" s="91"/>
      <x:c r="E241" s="58"/>
    </x:row>
    <x:row r="242">
      <x:c r="A242" s="89"/>
      <x:c r="B242" s="58"/>
      <x:c r="C242" s="58"/>
      <x:c r="D242" s="91"/>
      <x:c r="E242" s="58"/>
    </x:row>
    <x:row r="243">
      <x:c r="A243" s="89"/>
      <x:c r="B243" s="58"/>
      <x:c r="C243" s="58"/>
      <x:c r="D243" s="91"/>
      <x:c r="E243" s="58"/>
    </x:row>
    <x:row r="244">
      <x:c r="A244" s="89"/>
      <x:c r="B244" s="58"/>
      <x:c r="C244" s="58"/>
      <x:c r="D244" s="91"/>
      <x:c r="E244" s="58"/>
    </x:row>
    <x:row r="245">
      <x:c r="A245" s="89"/>
      <x:c r="B245" s="58"/>
      <x:c r="C245" s="58"/>
      <x:c r="D245" s="91"/>
      <x:c r="E245" s="58"/>
    </x:row>
    <x:row r="246">
      <x:c r="A246" s="89"/>
      <x:c r="B246" s="58"/>
      <x:c r="C246" s="58"/>
      <x:c r="D246" s="91"/>
      <x:c r="E246" s="58"/>
    </x:row>
    <x:row r="247">
      <x:c r="A247" s="89"/>
      <x:c r="B247" s="58"/>
      <x:c r="C247" s="58"/>
      <x:c r="D247" s="91"/>
      <x:c r="E247" s="58"/>
    </x:row>
    <x:row r="248">
      <x:c r="A248" s="89"/>
      <x:c r="B248" s="58"/>
      <x:c r="C248" s="58"/>
      <x:c r="D248" s="91"/>
      <x:c r="E248" s="58"/>
    </x:row>
    <x:row r="249">
      <x:c r="A249" s="89"/>
      <x:c r="B249" s="58"/>
      <x:c r="C249" s="58"/>
      <x:c r="D249" s="91"/>
      <x:c r="E249" s="58"/>
    </x:row>
    <x:row r="250">
      <x:c r="A250" s="89"/>
      <x:c r="B250" s="58"/>
      <x:c r="C250" s="58"/>
      <x:c r="D250" s="91"/>
      <x:c r="E250" s="58"/>
    </x:row>
    <x:row r="251">
      <x:c r="A251" s="89"/>
      <x:c r="B251" s="58"/>
      <x:c r="C251" s="58"/>
      <x:c r="D251" s="91"/>
      <x:c r="E251" s="58"/>
    </x:row>
    <x:row r="252">
      <x:c r="A252" s="89"/>
      <x:c r="B252" s="58"/>
      <x:c r="C252" s="58"/>
      <x:c r="D252" s="91"/>
      <x:c r="E252" s="58"/>
    </x:row>
    <x:row r="253">
      <x:c r="A253" s="89"/>
      <x:c r="B253" s="58"/>
      <x:c r="C253" s="58"/>
      <x:c r="D253" s="91"/>
      <x:c r="E253" s="58"/>
    </x:row>
    <x:row r="254">
      <x:c r="A254" s="89"/>
      <x:c r="B254" s="58"/>
      <x:c r="C254" s="58"/>
      <x:c r="D254" s="91"/>
      <x:c r="E254" s="58"/>
    </x:row>
    <x:row r="255">
      <x:c r="A255" s="89"/>
      <x:c r="B255" s="58"/>
      <x:c r="C255" s="58"/>
      <x:c r="D255" s="91"/>
      <x:c r="E255" s="58"/>
    </x:row>
    <x:row r="256">
      <x:c r="A256" s="89"/>
      <x:c r="B256" s="58"/>
      <x:c r="C256" s="58"/>
      <x:c r="D256" s="91"/>
      <x:c r="E256" s="58"/>
    </x:row>
    <x:row r="257">
      <x:c r="A257" s="89"/>
      <x:c r="B257" s="58"/>
      <x:c r="C257" s="58"/>
      <x:c r="D257" s="91"/>
      <x:c r="E257" s="58"/>
    </x:row>
    <x:row r="258">
      <x:c r="A258" s="89"/>
      <x:c r="B258" s="58"/>
      <x:c r="C258" s="58"/>
      <x:c r="D258" s="91"/>
      <x:c r="E258" s="58"/>
    </x:row>
    <x:row r="259">
      <x:c r="A259" s="89"/>
      <x:c r="B259" s="58"/>
      <x:c r="C259" s="58"/>
      <x:c r="D259" s="91"/>
      <x:c r="E259" s="58"/>
    </x:row>
    <x:row r="260">
      <x:c r="A260" s="89"/>
      <x:c r="B260" s="58"/>
      <x:c r="C260" s="58"/>
      <x:c r="D260" s="91"/>
      <x:c r="E260" s="58"/>
    </x:row>
    <x:row r="261">
      <x:c r="A261" s="89"/>
      <x:c r="B261" s="58"/>
      <x:c r="C261" s="58"/>
      <x:c r="D261" s="91"/>
      <x:c r="E261" s="58"/>
    </x:row>
    <x:row r="262">
      <x:c r="A262" s="89"/>
      <x:c r="B262" s="58"/>
      <x:c r="C262" s="58"/>
      <x:c r="D262" s="91"/>
      <x:c r="E262" s="58"/>
    </x:row>
    <x:row r="263">
      <x:c r="A263" s="89"/>
      <x:c r="B263" s="58"/>
      <x:c r="C263" s="58"/>
      <x:c r="D263" s="91"/>
      <x:c r="E263" s="58"/>
    </x:row>
    <x:row r="264">
      <x:c r="A264" s="89"/>
      <x:c r="B264" s="58"/>
      <x:c r="C264" s="58"/>
      <x:c r="D264" s="91"/>
      <x:c r="E264" s="58"/>
    </x:row>
    <x:row r="265">
      <x:c r="A265" s="89"/>
      <x:c r="B265" s="58"/>
      <x:c r="C265" s="58"/>
      <x:c r="D265" s="91"/>
      <x:c r="E265" s="58"/>
    </x:row>
    <x:row r="266">
      <x:c r="A266" s="89"/>
      <x:c r="B266" s="58"/>
      <x:c r="C266" s="58"/>
      <x:c r="D266" s="91"/>
      <x:c r="E266" s="58"/>
    </x:row>
    <x:row r="267">
      <x:c r="A267" s="89"/>
      <x:c r="B267" s="58"/>
      <x:c r="C267" s="58"/>
      <x:c r="D267" s="91"/>
      <x:c r="E267" s="58"/>
    </x:row>
    <x:row r="268">
      <x:c r="A268" s="89"/>
      <x:c r="B268" s="58"/>
      <x:c r="C268" s="58"/>
      <x:c r="D268" s="91"/>
      <x:c r="E268" s="58"/>
    </x:row>
    <x:row r="269">
      <x:c r="A269" s="89"/>
      <x:c r="B269" s="58"/>
      <x:c r="C269" s="58"/>
      <x:c r="D269" s="91"/>
      <x:c r="E269" s="58"/>
    </x:row>
    <x:row r="270">
      <x:c r="A270" s="89"/>
      <x:c r="B270" s="58"/>
      <x:c r="C270" s="58"/>
      <x:c r="D270" s="91"/>
      <x:c r="E270" s="58"/>
    </x:row>
    <x:row r="271">
      <x:c r="A271" s="89"/>
      <x:c r="B271" s="58"/>
      <x:c r="C271" s="58"/>
      <x:c r="D271" s="91"/>
      <x:c r="E271" s="58"/>
    </x:row>
    <x:row r="272">
      <x:c r="A272" s="89"/>
      <x:c r="B272" s="58"/>
      <x:c r="C272" s="58"/>
      <x:c r="D272" s="91"/>
      <x:c r="E272" s="58"/>
    </x:row>
    <x:row r="273">
      <x:c r="A273" s="89"/>
      <x:c r="B273" s="58"/>
      <x:c r="C273" s="58"/>
      <x:c r="D273" s="91"/>
      <x:c r="E273" s="58"/>
    </x:row>
    <x:row r="274">
      <x:c r="A274" s="89"/>
      <x:c r="B274" s="58"/>
      <x:c r="C274" s="58"/>
      <x:c r="D274" s="91"/>
      <x:c r="E274" s="58"/>
    </x:row>
    <x:row r="275">
      <x:c r="A275" s="89"/>
      <x:c r="B275" s="58"/>
      <x:c r="C275" s="58"/>
      <x:c r="D275" s="91"/>
      <x:c r="E275" s="58"/>
    </x:row>
    <x:row r="276">
      <x:c r="A276" s="89"/>
      <x:c r="B276" s="58"/>
      <x:c r="C276" s="58"/>
      <x:c r="D276" s="91"/>
      <x:c r="E276" s="58"/>
    </x:row>
    <x:row r="277">
      <x:c r="A277" s="89"/>
      <x:c r="B277" s="58"/>
      <x:c r="C277" s="58"/>
      <x:c r="D277" s="91"/>
      <x:c r="E277" s="58"/>
    </x:row>
    <x:row r="278">
      <x:c r="A278" s="89"/>
      <x:c r="B278" s="58"/>
      <x:c r="C278" s="58"/>
      <x:c r="D278" s="91"/>
      <x:c r="E278" s="58"/>
    </x:row>
    <x:row r="279">
      <x:c r="A279" s="89"/>
      <x:c r="B279" s="58"/>
      <x:c r="C279" s="58"/>
      <x:c r="D279" s="91"/>
      <x:c r="E279" s="58"/>
    </x:row>
    <x:row r="280">
      <x:c r="A280" s="89"/>
      <x:c r="B280" s="58"/>
      <x:c r="C280" s="58"/>
      <x:c r="D280" s="91"/>
      <x:c r="E280" s="58"/>
    </x:row>
    <x:row r="281">
      <x:c r="A281" s="89"/>
      <x:c r="B281" s="58"/>
      <x:c r="C281" s="58"/>
      <x:c r="D281" s="91"/>
      <x:c r="E281" s="58"/>
    </x:row>
    <x:row r="282">
      <x:c r="A282" s="89"/>
      <x:c r="B282" s="58"/>
      <x:c r="C282" s="58"/>
      <x:c r="D282" s="91"/>
      <x:c r="E282" s="58"/>
    </x:row>
    <x:row r="283">
      <x:c r="A283" s="89"/>
      <x:c r="B283" s="58"/>
      <x:c r="C283" s="58"/>
      <x:c r="D283" s="91"/>
      <x:c r="E283" s="58"/>
    </x:row>
    <x:row r="284">
      <x:c r="A284" s="89"/>
      <x:c r="B284" s="58"/>
      <x:c r="C284" s="58"/>
      <x:c r="D284" s="91"/>
      <x:c r="E284" s="58"/>
    </x:row>
    <x:row r="285">
      <x:c r="A285" s="89"/>
      <x:c r="B285" s="58"/>
      <x:c r="C285" s="58"/>
      <x:c r="D285" s="91"/>
      <x:c r="E285" s="58"/>
    </x:row>
    <x:row r="286">
      <x:c r="A286" s="89"/>
      <x:c r="B286" s="58"/>
      <x:c r="C286" s="58"/>
      <x:c r="D286" s="91"/>
      <x:c r="E286" s="58"/>
    </x:row>
    <x:row r="287">
      <x:c r="A287" s="89"/>
      <x:c r="B287" s="58"/>
      <x:c r="C287" s="58"/>
      <x:c r="D287" s="91"/>
      <x:c r="E287" s="58"/>
    </x:row>
    <x:row r="288">
      <x:c r="A288" s="89"/>
      <x:c r="B288" s="58"/>
      <x:c r="C288" s="58"/>
      <x:c r="D288" s="91"/>
      <x:c r="E288" s="58"/>
    </x:row>
    <x:row r="289">
      <x:c r="A289" s="89"/>
      <x:c r="B289" s="58"/>
      <x:c r="C289" s="58"/>
      <x:c r="D289" s="91"/>
      <x:c r="E289" s="58"/>
    </x:row>
    <x:row r="290">
      <x:c r="A290" s="89"/>
      <x:c r="B290" s="58"/>
      <x:c r="C290" s="58"/>
      <x:c r="D290" s="91"/>
      <x:c r="E290" s="58"/>
    </x:row>
    <x:row r="291">
      <x:c r="A291" s="89"/>
      <x:c r="B291" s="58"/>
      <x:c r="C291" s="58"/>
      <x:c r="D291" s="91"/>
      <x:c r="E291" s="58"/>
    </x:row>
    <x:row r="292">
      <x:c r="A292" s="89"/>
      <x:c r="B292" s="58"/>
      <x:c r="C292" s="58"/>
      <x:c r="D292" s="91"/>
      <x:c r="E292" s="58"/>
    </x:row>
    <x:row r="293">
      <x:c r="A293" s="89"/>
      <x:c r="B293" s="58"/>
      <x:c r="C293" s="58"/>
      <x:c r="D293" s="91"/>
      <x:c r="E293" s="58"/>
    </x:row>
    <x:row r="294">
      <x:c r="A294" s="89"/>
      <x:c r="B294" s="58"/>
      <x:c r="C294" s="58"/>
      <x:c r="D294" s="91"/>
      <x:c r="E294" s="58"/>
    </x:row>
    <x:row r="295">
      <x:c r="A295" s="89"/>
      <x:c r="B295" s="58"/>
      <x:c r="C295" s="58"/>
      <x:c r="D295" s="91"/>
      <x:c r="E295" s="58"/>
    </x:row>
    <x:row r="296">
      <x:c r="A296" s="89"/>
      <x:c r="B296" s="58"/>
      <x:c r="C296" s="58"/>
      <x:c r="D296" s="91"/>
      <x:c r="E296" s="58"/>
    </x:row>
    <x:row r="297">
      <x:c r="A297" s="89"/>
      <x:c r="B297" s="58"/>
      <x:c r="C297" s="58"/>
      <x:c r="D297" s="91"/>
      <x:c r="E297" s="58"/>
    </x:row>
    <x:row r="298">
      <x:c r="A298" s="89"/>
      <x:c r="B298" s="58"/>
      <x:c r="C298" s="58"/>
      <x:c r="D298" s="91"/>
      <x:c r="E298" s="58"/>
    </x:row>
    <x:row r="299">
      <x:c r="A299" s="89"/>
      <x:c r="B299" s="58"/>
      <x:c r="C299" s="58"/>
      <x:c r="D299" s="91"/>
      <x:c r="E299" s="58"/>
    </x:row>
    <x:row r="300">
      <x:c r="A300" s="89"/>
      <x:c r="B300" s="58"/>
      <x:c r="C300" s="58"/>
      <x:c r="D300" s="91"/>
      <x:c r="E300" s="58"/>
    </x:row>
    <x:row r="301">
      <x:c r="A301" s="89"/>
      <x:c r="B301" s="58"/>
      <x:c r="C301" s="58"/>
      <x:c r="D301" s="91"/>
      <x:c r="E301" s="58"/>
    </x:row>
    <x:row r="302">
      <x:c r="A302" s="89"/>
      <x:c r="B302" s="58"/>
      <x:c r="C302" s="58"/>
      <x:c r="D302" s="91"/>
      <x:c r="E302" s="58"/>
    </x:row>
    <x:row r="303">
      <x:c r="A303" s="89"/>
      <x:c r="B303" s="58"/>
      <x:c r="C303" s="58"/>
      <x:c r="D303" s="91"/>
      <x:c r="E303" s="58"/>
    </x:row>
    <x:row r="304">
      <x:c r="A304" s="89"/>
      <x:c r="B304" s="58"/>
      <x:c r="C304" s="58"/>
      <x:c r="D304" s="91"/>
      <x:c r="E304" s="58"/>
    </x:row>
    <x:row r="305">
      <x:c r="A305" s="89"/>
      <x:c r="B305" s="58"/>
      <x:c r="C305" s="58"/>
      <x:c r="D305" s="91"/>
      <x:c r="E305" s="58"/>
    </x:row>
    <x:row r="306">
      <x:c r="A306" s="89"/>
      <x:c r="B306" s="58"/>
      <x:c r="C306" s="58"/>
      <x:c r="D306" s="91"/>
      <x:c r="E306" s="58"/>
    </x:row>
    <x:row r="307">
      <x:c r="A307" s="89"/>
      <x:c r="B307" s="58"/>
      <x:c r="C307" s="58"/>
      <x:c r="D307" s="91"/>
      <x:c r="E307" s="58"/>
    </x:row>
    <x:row r="308">
      <x:c r="A308" s="89"/>
      <x:c r="B308" s="58"/>
      <x:c r="C308" s="58"/>
      <x:c r="D308" s="91"/>
      <x:c r="E308" s="58"/>
    </x:row>
    <x:row r="309">
      <x:c r="A309" s="89"/>
      <x:c r="B309" s="58"/>
      <x:c r="C309" s="58"/>
      <x:c r="D309" s="91"/>
      <x:c r="E309" s="58"/>
    </x:row>
    <x:row r="310">
      <x:c r="A310" s="89"/>
      <x:c r="B310" s="58"/>
      <x:c r="C310" s="58"/>
      <x:c r="D310" s="91"/>
      <x:c r="E310" s="58"/>
    </x:row>
    <x:row r="311">
      <x:c r="A311" s="89"/>
      <x:c r="B311" s="58"/>
      <x:c r="C311" s="58"/>
      <x:c r="D311" s="91"/>
      <x:c r="E311" s="58"/>
    </x:row>
    <x:row r="312">
      <x:c r="A312" s="89"/>
      <x:c r="B312" s="58"/>
      <x:c r="C312" s="58"/>
      <x:c r="D312" s="91"/>
      <x:c r="E312" s="58"/>
    </x:row>
    <x:row r="313">
      <x:c r="A313" s="89"/>
      <x:c r="B313" s="58"/>
      <x:c r="C313" s="58"/>
      <x:c r="D313" s="91"/>
      <x:c r="E313" s="58"/>
    </x:row>
    <x:row r="314">
      <x:c r="A314" s="89"/>
      <x:c r="B314" s="58"/>
      <x:c r="C314" s="58"/>
      <x:c r="D314" s="91"/>
      <x:c r="E314" s="58"/>
    </x:row>
    <x:row r="315">
      <x:c r="A315" s="89"/>
      <x:c r="B315" s="58"/>
      <x:c r="C315" s="58"/>
      <x:c r="D315" s="91"/>
      <x:c r="E315" s="58"/>
    </x:row>
    <x:row r="316">
      <x:c r="A316" s="89"/>
      <x:c r="B316" s="58"/>
      <x:c r="C316" s="58"/>
      <x:c r="D316" s="91"/>
      <x:c r="E316" s="58"/>
    </x:row>
    <x:row r="317">
      <x:c r="A317" s="89"/>
      <x:c r="B317" s="58"/>
      <x:c r="C317" s="58"/>
      <x:c r="D317" s="91"/>
      <x:c r="E317" s="58"/>
    </x:row>
    <x:row r="318">
      <x:c r="A318" s="89"/>
      <x:c r="B318" s="58"/>
      <x:c r="C318" s="58"/>
      <x:c r="D318" s="91"/>
      <x:c r="E318" s="58"/>
    </x:row>
    <x:row r="319">
      <x:c r="A319" s="89"/>
      <x:c r="B319" s="58"/>
      <x:c r="C319" s="58"/>
      <x:c r="D319" s="91"/>
      <x:c r="E319" s="58"/>
    </x:row>
    <x:row r="320">
      <x:c r="A320" s="89"/>
      <x:c r="B320" s="58"/>
      <x:c r="C320" s="58"/>
      <x:c r="D320" s="91"/>
      <x:c r="E320" s="58"/>
    </x:row>
    <x:row r="321">
      <x:c r="A321" s="89"/>
      <x:c r="B321" s="58"/>
      <x:c r="C321" s="58"/>
      <x:c r="D321" s="91"/>
      <x:c r="E321" s="58"/>
    </x:row>
    <x:row r="322">
      <x:c r="A322" s="89"/>
      <x:c r="B322" s="58"/>
      <x:c r="C322" s="58"/>
      <x:c r="D322" s="91"/>
      <x:c r="E322" s="58"/>
    </x:row>
    <x:row r="323">
      <x:c r="A323" s="89"/>
      <x:c r="B323" s="58"/>
      <x:c r="C323" s="58"/>
      <x:c r="D323" s="91"/>
      <x:c r="E323" s="58"/>
    </x:row>
    <x:row r="324">
      <x:c r="A324" s="89"/>
      <x:c r="B324" s="58"/>
      <x:c r="C324" s="58"/>
      <x:c r="D324" s="91"/>
      <x:c r="E324" s="58"/>
    </x:row>
    <x:row r="325">
      <x:c r="A325" s="89"/>
      <x:c r="B325" s="58"/>
      <x:c r="C325" s="58"/>
      <x:c r="D325" s="91"/>
      <x:c r="E325" s="58"/>
    </x:row>
    <x:row r="326">
      <x:c r="A326" s="89"/>
      <x:c r="B326" s="58"/>
      <x:c r="C326" s="58"/>
      <x:c r="D326" s="91"/>
      <x:c r="E326" s="58"/>
    </x:row>
    <x:row r="327">
      <x:c r="A327" s="89"/>
      <x:c r="B327" s="58"/>
      <x:c r="C327" s="58"/>
      <x:c r="D327" s="91"/>
      <x:c r="E327" s="58"/>
    </x:row>
    <x:row r="328">
      <x:c r="A328" s="89"/>
      <x:c r="B328" s="58"/>
      <x:c r="C328" s="58"/>
      <x:c r="D328" s="91"/>
      <x:c r="E328" s="58"/>
    </x:row>
    <x:row r="329">
      <x:c r="A329" s="89"/>
      <x:c r="B329" s="58"/>
      <x:c r="C329" s="58"/>
      <x:c r="D329" s="91"/>
      <x:c r="E329" s="58"/>
    </x:row>
    <x:row r="330">
      <x:c r="A330" s="89"/>
      <x:c r="B330" s="58"/>
      <x:c r="C330" s="58"/>
      <x:c r="D330" s="91"/>
      <x:c r="E330" s="58"/>
    </x:row>
    <x:row r="331">
      <x:c r="A331" s="89"/>
      <x:c r="B331" s="58"/>
      <x:c r="C331" s="58"/>
      <x:c r="D331" s="91"/>
      <x:c r="E331" s="58"/>
    </x:row>
    <x:row r="332">
      <x:c r="A332" s="89"/>
      <x:c r="B332" s="58"/>
      <x:c r="C332" s="58"/>
      <x:c r="D332" s="91"/>
      <x:c r="E332" s="58"/>
    </x:row>
    <x:row r="333">
      <x:c r="A333" s="89"/>
      <x:c r="B333" s="58"/>
      <x:c r="C333" s="58"/>
      <x:c r="D333" s="91"/>
      <x:c r="E333" s="58"/>
    </x:row>
    <x:row r="334">
      <x:c r="A334" s="89"/>
      <x:c r="B334" s="58"/>
      <x:c r="C334" s="58"/>
      <x:c r="D334" s="91"/>
      <x:c r="E334" s="58"/>
    </x:row>
    <x:row r="335">
      <x:c r="A335" s="89"/>
      <x:c r="B335" s="58"/>
      <x:c r="C335" s="58"/>
      <x:c r="D335" s="91"/>
      <x:c r="E335" s="58"/>
    </x:row>
    <x:row r="336">
      <x:c r="A336" s="89"/>
      <x:c r="B336" s="58"/>
      <x:c r="C336" s="58"/>
      <x:c r="D336" s="91"/>
      <x:c r="E336" s="58"/>
    </x:row>
    <x:row r="337">
      <x:c r="A337" s="89"/>
      <x:c r="B337" s="58"/>
      <x:c r="C337" s="58"/>
      <x:c r="D337" s="91"/>
      <x:c r="E337" s="58"/>
    </x:row>
    <x:row r="338">
      <x:c r="A338" s="89"/>
      <x:c r="B338" s="58"/>
      <x:c r="C338" s="58"/>
      <x:c r="D338" s="91"/>
      <x:c r="E338" s="58"/>
    </x:row>
    <x:row r="339">
      <x:c r="A339" s="89"/>
      <x:c r="B339" s="58"/>
      <x:c r="C339" s="58"/>
      <x:c r="D339" s="91"/>
      <x:c r="E339" s="58"/>
    </x:row>
    <x:row r="340">
      <x:c r="A340" s="89"/>
      <x:c r="B340" s="58"/>
      <x:c r="C340" s="58"/>
      <x:c r="D340" s="91"/>
      <x:c r="E340" s="58"/>
    </x:row>
    <x:row r="341">
      <x:c r="A341" s="89"/>
      <x:c r="B341" s="58"/>
      <x:c r="C341" s="58"/>
      <x:c r="D341" s="91"/>
      <x:c r="E341" s="58"/>
    </x:row>
    <x:row r="342">
      <x:c r="A342" s="89"/>
      <x:c r="B342" s="58"/>
      <x:c r="C342" s="58"/>
      <x:c r="D342" s="91"/>
      <x:c r="E342" s="58"/>
    </x:row>
    <x:row r="343">
      <x:c r="A343" s="89"/>
      <x:c r="B343" s="58"/>
      <x:c r="C343" s="58"/>
      <x:c r="D343" s="91"/>
      <x:c r="E343" s="58"/>
    </x:row>
    <x:row r="344">
      <x:c r="A344" s="89"/>
      <x:c r="B344" s="58"/>
      <x:c r="C344" s="58"/>
      <x:c r="D344" s="91"/>
      <x:c r="E344" s="58"/>
    </x:row>
    <x:row r="345">
      <x:c r="A345" s="89"/>
      <x:c r="B345" s="58"/>
      <x:c r="C345" s="58"/>
      <x:c r="D345" s="91"/>
      <x:c r="E345" s="58"/>
    </x:row>
    <x:row r="346">
      <x:c r="A346" s="89"/>
      <x:c r="B346" s="58"/>
      <x:c r="C346" s="58"/>
      <x:c r="D346" s="91"/>
      <x:c r="E346" s="58"/>
    </x:row>
    <x:row r="347">
      <x:c r="A347" s="89"/>
      <x:c r="B347" s="58"/>
      <x:c r="C347" s="58"/>
      <x:c r="D347" s="91"/>
      <x:c r="E347" s="58"/>
    </x:row>
    <x:row r="348">
      <x:c r="A348" s="89"/>
      <x:c r="B348" s="58"/>
      <x:c r="C348" s="58"/>
      <x:c r="D348" s="91"/>
      <x:c r="E348" s="58"/>
    </x:row>
    <x:row r="349">
      <x:c r="A349" s="89"/>
      <x:c r="B349" s="58"/>
      <x:c r="C349" s="58"/>
      <x:c r="D349" s="91"/>
      <x:c r="E349" s="58"/>
    </x:row>
    <x:row r="350">
      <x:c r="A350" s="89"/>
      <x:c r="B350" s="58"/>
      <x:c r="C350" s="58"/>
      <x:c r="D350" s="91"/>
      <x:c r="E350" s="58"/>
    </x:row>
    <x:row r="351">
      <x:c r="A351" s="89"/>
      <x:c r="B351" s="58"/>
      <x:c r="C351" s="58"/>
      <x:c r="D351" s="91"/>
      <x:c r="E351" s="58"/>
    </x:row>
    <x:row r="352">
      <x:c r="A352" s="89"/>
      <x:c r="B352" s="58"/>
      <x:c r="C352" s="58"/>
      <x:c r="D352" s="91"/>
      <x:c r="E352" s="58"/>
    </x:row>
    <x:row r="353">
      <x:c r="A353" s="89"/>
      <x:c r="B353" s="58"/>
      <x:c r="C353" s="58"/>
      <x:c r="D353" s="91"/>
      <x:c r="E353" s="58"/>
    </x:row>
    <x:row r="354">
      <x:c r="A354" s="89"/>
      <x:c r="B354" s="58"/>
      <x:c r="C354" s="58"/>
      <x:c r="D354" s="91"/>
      <x:c r="E354" s="58"/>
    </x:row>
    <x:row r="355">
      <x:c r="A355" s="89"/>
      <x:c r="B355" s="58"/>
      <x:c r="C355" s="58"/>
      <x:c r="D355" s="91"/>
      <x:c r="E355" s="58"/>
    </x:row>
    <x:row r="356">
      <x:c r="A356" s="89"/>
      <x:c r="B356" s="58"/>
      <x:c r="C356" s="58"/>
      <x:c r="D356" s="91"/>
      <x:c r="E356" s="58"/>
    </x:row>
    <x:row r="357">
      <x:c r="A357" s="89"/>
      <x:c r="B357" s="58"/>
      <x:c r="C357" s="58"/>
      <x:c r="D357" s="91"/>
      <x:c r="E357" s="58"/>
    </x:row>
    <x:row r="358">
      <x:c r="A358" s="89"/>
      <x:c r="B358" s="58"/>
      <x:c r="C358" s="58"/>
      <x:c r="D358" s="91"/>
      <x:c r="E358" s="58"/>
    </x:row>
    <x:row r="359">
      <x:c r="A359" s="89"/>
      <x:c r="B359" s="58"/>
      <x:c r="C359" s="58"/>
      <x:c r="D359" s="91"/>
      <x:c r="E359" s="58"/>
    </x:row>
    <x:row r="360">
      <x:c r="A360" s="89"/>
      <x:c r="B360" s="58"/>
      <x:c r="C360" s="58"/>
      <x:c r="D360" s="91"/>
      <x:c r="E360" s="58"/>
    </x:row>
    <x:row r="361">
      <x:c r="A361" s="89"/>
      <x:c r="B361" s="58"/>
      <x:c r="C361" s="58"/>
      <x:c r="D361" s="91"/>
      <x:c r="E361" s="58"/>
    </x:row>
    <x:row r="362">
      <x:c r="A362" s="89"/>
      <x:c r="B362" s="58"/>
      <x:c r="C362" s="58"/>
      <x:c r="D362" s="91"/>
      <x:c r="E362" s="58"/>
    </x:row>
    <x:row r="363">
      <x:c r="A363" s="89"/>
      <x:c r="B363" s="58"/>
      <x:c r="C363" s="58"/>
      <x:c r="D363" s="91"/>
      <x:c r="E363" s="58"/>
    </x:row>
    <x:row r="364">
      <x:c r="A364" s="89"/>
      <x:c r="B364" s="58"/>
      <x:c r="C364" s="58"/>
      <x:c r="D364" s="91"/>
      <x:c r="E364" s="58"/>
    </x:row>
    <x:row r="365">
      <x:c r="A365" s="89"/>
      <x:c r="B365" s="58"/>
      <x:c r="C365" s="58"/>
      <x:c r="D365" s="91"/>
      <x:c r="E365" s="58"/>
    </x:row>
    <x:row r="366">
      <x:c r="A366" s="89"/>
      <x:c r="B366" s="58"/>
      <x:c r="C366" s="58"/>
      <x:c r="D366" s="91"/>
      <x:c r="E366" s="58"/>
    </x:row>
    <x:row r="367">
      <x:c r="A367" s="89"/>
      <x:c r="B367" s="58"/>
      <x:c r="C367" s="58"/>
      <x:c r="D367" s="91"/>
      <x:c r="E367" s="58"/>
    </x:row>
    <x:row r="368">
      <x:c r="A368" s="89"/>
      <x:c r="B368" s="58"/>
      <x:c r="C368" s="58"/>
      <x:c r="D368" s="91"/>
      <x:c r="E368" s="58"/>
    </x:row>
    <x:row r="369">
      <x:c r="A369" s="89"/>
      <x:c r="B369" s="58"/>
      <x:c r="C369" s="58"/>
      <x:c r="D369" s="91"/>
      <x:c r="E369" s="58"/>
    </x:row>
    <x:row r="370">
      <x:c r="A370" s="89"/>
      <x:c r="B370" s="58"/>
      <x:c r="C370" s="58"/>
      <x:c r="D370" s="91"/>
      <x:c r="E370" s="58"/>
    </x:row>
    <x:row r="371">
      <x:c r="A371" s="89"/>
      <x:c r="B371" s="58"/>
      <x:c r="C371" s="58"/>
      <x:c r="D371" s="91"/>
      <x:c r="E371" s="58"/>
    </x:row>
    <x:row r="372">
      <x:c r="A372" s="89"/>
      <x:c r="B372" s="58"/>
      <x:c r="C372" s="58"/>
      <x:c r="D372" s="91"/>
      <x:c r="E372" s="58"/>
    </x:row>
    <x:row r="373">
      <x:c r="A373" s="89"/>
      <x:c r="B373" s="58"/>
      <x:c r="C373" s="58"/>
      <x:c r="D373" s="91"/>
      <x:c r="E373" s="58"/>
    </x:row>
    <x:row r="374">
      <x:c r="A374" s="89"/>
      <x:c r="B374" s="58"/>
      <x:c r="C374" s="58"/>
      <x:c r="D374" s="91"/>
      <x:c r="E374" s="58"/>
    </x:row>
    <x:row r="375">
      <x:c r="A375" s="89"/>
      <x:c r="B375" s="58"/>
      <x:c r="C375" s="58"/>
      <x:c r="D375" s="91"/>
      <x:c r="E375" s="58"/>
    </x:row>
    <x:row r="376">
      <x:c r="A376" s="89"/>
      <x:c r="B376" s="58"/>
      <x:c r="C376" s="58"/>
      <x:c r="D376" s="91"/>
      <x:c r="E376" s="58"/>
    </x:row>
    <x:row r="377">
      <x:c r="A377" s="89"/>
      <x:c r="B377" s="58"/>
      <x:c r="C377" s="58"/>
      <x:c r="D377" s="91"/>
      <x:c r="E377" s="58"/>
    </x:row>
    <x:row r="378">
      <x:c r="A378" s="89"/>
      <x:c r="B378" s="58"/>
      <x:c r="C378" s="58"/>
      <x:c r="D378" s="91"/>
      <x:c r="E378" s="58"/>
    </x:row>
    <x:row r="379">
      <x:c r="A379" s="89"/>
      <x:c r="B379" s="58"/>
      <x:c r="C379" s="58"/>
      <x:c r="D379" s="91"/>
      <x:c r="E379" s="58"/>
    </x:row>
    <x:row r="380">
      <x:c r="A380" s="89"/>
      <x:c r="B380" s="58"/>
      <x:c r="C380" s="58"/>
      <x:c r="D380" s="91"/>
      <x:c r="E380" s="58"/>
    </x:row>
    <x:row r="381">
      <x:c r="A381" s="89"/>
      <x:c r="B381" s="58"/>
      <x:c r="C381" s="58"/>
      <x:c r="D381" s="91"/>
      <x:c r="E381" s="58"/>
    </x:row>
    <x:row r="382">
      <x:c r="A382" s="89"/>
      <x:c r="B382" s="58"/>
      <x:c r="C382" s="58"/>
      <x:c r="D382" s="91"/>
      <x:c r="E382" s="58"/>
    </x:row>
    <x:row r="383">
      <x:c r="A383" s="89"/>
      <x:c r="B383" s="58"/>
      <x:c r="C383" s="58"/>
      <x:c r="D383" s="91"/>
      <x:c r="E383" s="58"/>
    </x:row>
    <x:row r="384">
      <x:c r="A384" s="89"/>
      <x:c r="B384" s="58"/>
      <x:c r="C384" s="58"/>
      <x:c r="D384" s="91"/>
      <x:c r="E384" s="58"/>
    </x:row>
    <x:row r="385">
      <x:c r="A385" s="89"/>
      <x:c r="B385" s="58"/>
      <x:c r="C385" s="58"/>
      <x:c r="D385" s="91"/>
      <x:c r="E385" s="58"/>
    </x:row>
    <x:row r="386">
      <x:c r="A386" s="89"/>
      <x:c r="B386" s="58"/>
      <x:c r="C386" s="58"/>
      <x:c r="D386" s="91"/>
      <x:c r="E386" s="58"/>
    </x:row>
    <x:row r="387">
      <x:c r="A387" s="89"/>
      <x:c r="B387" s="58"/>
      <x:c r="C387" s="58"/>
      <x:c r="D387" s="91"/>
      <x:c r="E387" s="58"/>
    </x:row>
    <x:row r="388">
      <x:c r="A388" s="89"/>
      <x:c r="B388" s="58"/>
      <x:c r="C388" s="58"/>
      <x:c r="D388" s="91"/>
      <x:c r="E388" s="58"/>
    </x:row>
    <x:row r="389">
      <x:c r="A389" s="89"/>
      <x:c r="B389" s="58"/>
      <x:c r="C389" s="58"/>
      <x:c r="D389" s="91"/>
      <x:c r="E389" s="58"/>
    </x:row>
    <x:row r="390">
      <x:c r="A390" s="89"/>
      <x:c r="B390" s="58"/>
      <x:c r="C390" s="58"/>
      <x:c r="D390" s="91"/>
      <x:c r="E390" s="58"/>
    </x:row>
    <x:row r="391">
      <x:c r="A391" s="89"/>
      <x:c r="B391" s="58"/>
      <x:c r="C391" s="58"/>
      <x:c r="D391" s="91"/>
      <x:c r="E391" s="58"/>
    </x:row>
    <x:row r="392">
      <x:c r="A392" s="89"/>
      <x:c r="B392" s="58"/>
      <x:c r="C392" s="58"/>
      <x:c r="D392" s="91"/>
      <x:c r="E392" s="58"/>
    </x:row>
    <x:row r="393">
      <x:c r="A393" s="89"/>
      <x:c r="B393" s="58"/>
      <x:c r="C393" s="58"/>
      <x:c r="D393" s="91"/>
      <x:c r="E393" s="58"/>
    </x:row>
    <x:row r="394">
      <x:c r="A394" s="89"/>
      <x:c r="B394" s="58"/>
      <x:c r="C394" s="58"/>
      <x:c r="D394" s="91"/>
      <x:c r="E394" s="58"/>
    </x:row>
    <x:row r="395">
      <x:c r="A395" s="89"/>
      <x:c r="B395" s="58"/>
      <x:c r="C395" s="58"/>
      <x:c r="D395" s="91"/>
      <x:c r="E395" s="58"/>
    </x:row>
    <x:row r="396">
      <x:c r="A396" s="89"/>
      <x:c r="B396" s="58"/>
      <x:c r="C396" s="58"/>
      <x:c r="D396" s="91"/>
      <x:c r="E396" s="58"/>
    </x:row>
    <x:row r="397">
      <x:c r="A397" s="89"/>
      <x:c r="B397" s="58"/>
      <x:c r="C397" s="58"/>
      <x:c r="D397" s="91"/>
      <x:c r="E397" s="58"/>
    </x:row>
    <x:row r="398">
      <x:c r="A398" s="89"/>
      <x:c r="B398" s="58"/>
      <x:c r="C398" s="58"/>
      <x:c r="D398" s="91"/>
      <x:c r="E398" s="58"/>
    </x:row>
    <x:row r="399">
      <x:c r="A399" s="89"/>
      <x:c r="B399" s="58"/>
      <x:c r="C399" s="58"/>
      <x:c r="D399" s="91"/>
      <x:c r="E399" s="58"/>
    </x:row>
    <x:row r="400">
      <x:c r="A400" s="89"/>
      <x:c r="B400" s="58"/>
      <x:c r="C400" s="58"/>
      <x:c r="D400" s="91"/>
      <x:c r="E400" s="58"/>
    </x:row>
    <x:row r="401">
      <x:c r="A401" s="89"/>
      <x:c r="B401" s="58"/>
      <x:c r="C401" s="58"/>
      <x:c r="D401" s="91"/>
      <x:c r="E401" s="58"/>
    </x:row>
    <x:row r="402">
      <x:c r="A402" s="89"/>
      <x:c r="B402" s="58"/>
      <x:c r="C402" s="58"/>
      <x:c r="D402" s="91"/>
      <x:c r="E402" s="58"/>
    </x:row>
    <x:row r="403">
      <x:c r="A403" s="89"/>
      <x:c r="B403" s="58"/>
      <x:c r="C403" s="58"/>
      <x:c r="D403" s="91"/>
      <x:c r="E403" s="58"/>
    </x:row>
    <x:row r="404">
      <x:c r="A404" s="89"/>
      <x:c r="B404" s="58"/>
      <x:c r="C404" s="58"/>
      <x:c r="D404" s="91"/>
      <x:c r="E404" s="58"/>
    </x:row>
    <x:row r="405">
      <x:c r="A405" s="89"/>
      <x:c r="B405" s="58"/>
      <x:c r="C405" s="58"/>
      <x:c r="D405" s="91"/>
      <x:c r="E405" s="58"/>
    </x:row>
    <x:row r="406">
      <x:c r="A406" s="89"/>
      <x:c r="B406" s="58"/>
      <x:c r="C406" s="58"/>
      <x:c r="D406" s="91"/>
      <x:c r="E406" s="58"/>
    </x:row>
    <x:row r="407">
      <x:c r="A407" s="89"/>
      <x:c r="B407" s="58"/>
      <x:c r="C407" s="58"/>
      <x:c r="D407" s="91"/>
      <x:c r="E407" s="58"/>
    </x:row>
    <x:row r="408">
      <x:c r="A408" s="89"/>
      <x:c r="B408" s="58"/>
      <x:c r="C408" s="58"/>
      <x:c r="D408" s="91"/>
      <x:c r="E408" s="58"/>
    </x:row>
    <x:row r="409">
      <x:c r="A409" s="89"/>
      <x:c r="B409" s="58"/>
      <x:c r="C409" s="58"/>
      <x:c r="D409" s="91"/>
      <x:c r="E409" s="58"/>
    </x:row>
    <x:row r="410">
      <x:c r="A410" s="89"/>
      <x:c r="B410" s="58"/>
      <x:c r="C410" s="58"/>
      <x:c r="D410" s="91"/>
      <x:c r="E410" s="58"/>
    </x:row>
    <x:row r="411">
      <x:c r="A411" s="89"/>
      <x:c r="B411" s="58"/>
      <x:c r="C411" s="58"/>
      <x:c r="D411" s="91"/>
      <x:c r="E411" s="58"/>
    </x:row>
    <x:row r="412">
      <x:c r="A412" s="89"/>
      <x:c r="B412" s="58"/>
      <x:c r="C412" s="58"/>
      <x:c r="D412" s="91"/>
      <x:c r="E412" s="58"/>
    </x:row>
    <x:row r="413">
      <x:c r="A413" s="89"/>
      <x:c r="B413" s="58"/>
      <x:c r="C413" s="58"/>
      <x:c r="D413" s="91"/>
      <x:c r="E413" s="58"/>
    </x:row>
    <x:row r="414">
      <x:c r="A414" s="89"/>
      <x:c r="B414" s="58"/>
      <x:c r="C414" s="58"/>
      <x:c r="D414" s="91"/>
      <x:c r="E414" s="58"/>
    </x:row>
    <x:row r="415">
      <x:c r="A415" s="89"/>
      <x:c r="B415" s="58"/>
      <x:c r="C415" s="58"/>
      <x:c r="D415" s="91"/>
      <x:c r="E415" s="58"/>
    </x:row>
    <x:row r="416">
      <x:c r="A416" s="89"/>
      <x:c r="B416" s="58"/>
      <x:c r="C416" s="58"/>
      <x:c r="D416" s="91"/>
      <x:c r="E416" s="58"/>
    </x:row>
    <x:row r="417">
      <x:c r="A417" s="89"/>
      <x:c r="B417" s="58"/>
      <x:c r="C417" s="58"/>
      <x:c r="D417" s="91"/>
      <x:c r="E417" s="58"/>
    </x:row>
    <x:row r="418">
      <x:c r="A418" s="89"/>
      <x:c r="B418" s="58"/>
      <x:c r="C418" s="58"/>
      <x:c r="D418" s="91"/>
      <x:c r="E418" s="58"/>
    </x:row>
    <x:row r="419">
      <x:c r="A419" s="89"/>
      <x:c r="B419" s="58"/>
      <x:c r="C419" s="58"/>
      <x:c r="D419" s="91"/>
      <x:c r="E419" s="58"/>
    </x:row>
    <x:row r="420">
      <x:c r="A420" s="89"/>
      <x:c r="B420" s="58"/>
      <x:c r="C420" s="58"/>
      <x:c r="D420" s="91"/>
      <x:c r="E420" s="58"/>
    </x:row>
    <x:row r="421">
      <x:c r="A421" s="89"/>
      <x:c r="B421" s="58"/>
      <x:c r="C421" s="58"/>
      <x:c r="D421" s="91"/>
      <x:c r="E421" s="58"/>
    </x:row>
    <x:row r="422">
      <x:c r="A422" s="89"/>
      <x:c r="B422" s="58"/>
      <x:c r="C422" s="58"/>
      <x:c r="D422" s="91"/>
      <x:c r="E422" s="58"/>
    </x:row>
    <x:row r="423">
      <x:c r="A423" s="89"/>
      <x:c r="B423" s="58"/>
      <x:c r="C423" s="58"/>
      <x:c r="D423" s="91"/>
      <x:c r="E423" s="58"/>
    </x:row>
    <x:row r="424">
      <x:c r="A424" s="89"/>
      <x:c r="B424" s="58"/>
      <x:c r="C424" s="58"/>
      <x:c r="D424" s="91"/>
      <x:c r="E424" s="58"/>
    </x:row>
    <x:row r="425">
      <x:c r="A425" s="89"/>
      <x:c r="B425" s="58"/>
      <x:c r="C425" s="58"/>
      <x:c r="D425" s="91"/>
      <x:c r="E425" s="58"/>
    </x:row>
    <x:row r="426">
      <x:c r="A426" s="89"/>
      <x:c r="B426" s="58"/>
      <x:c r="C426" s="58"/>
      <x:c r="D426" s="91"/>
      <x:c r="E426" s="58"/>
    </x:row>
    <x:row r="427">
      <x:c r="A427" s="89"/>
      <x:c r="B427" s="58"/>
      <x:c r="C427" s="58"/>
      <x:c r="D427" s="91"/>
      <x:c r="E427" s="58"/>
    </x:row>
    <x:row r="428">
      <x:c r="A428" s="89"/>
      <x:c r="B428" s="58"/>
      <x:c r="C428" s="58"/>
      <x:c r="D428" s="91"/>
      <x:c r="E428" s="58"/>
    </x:row>
    <x:row r="429">
      <x:c r="A429" s="89"/>
      <x:c r="B429" s="58"/>
      <x:c r="C429" s="58"/>
      <x:c r="D429" s="91"/>
      <x:c r="E429" s="58"/>
    </x:row>
    <x:row r="430">
      <x:c r="A430" s="89"/>
      <x:c r="B430" s="58"/>
      <x:c r="C430" s="58"/>
      <x:c r="D430" s="91"/>
      <x:c r="E430" s="58"/>
    </x:row>
    <x:row r="431">
      <x:c r="A431" s="89"/>
      <x:c r="B431" s="58"/>
      <x:c r="C431" s="58"/>
      <x:c r="D431" s="91"/>
      <x:c r="E431" s="58"/>
    </x:row>
    <x:row r="432">
      <x:c r="A432" s="89"/>
      <x:c r="B432" s="58"/>
      <x:c r="C432" s="58"/>
      <x:c r="D432" s="91"/>
      <x:c r="E432" s="58"/>
    </x:row>
    <x:row r="433">
      <x:c r="A433" s="89"/>
      <x:c r="B433" s="58"/>
      <x:c r="C433" s="58"/>
      <x:c r="D433" s="91"/>
      <x:c r="E433" s="58"/>
    </x:row>
    <x:row r="434">
      <x:c r="A434" s="89"/>
      <x:c r="B434" s="58"/>
      <x:c r="C434" s="58"/>
      <x:c r="D434" s="91"/>
      <x:c r="E434" s="58"/>
    </x:row>
    <x:row r="435">
      <x:c r="A435" s="89"/>
      <x:c r="B435" s="58"/>
      <x:c r="C435" s="58"/>
      <x:c r="D435" s="91"/>
      <x:c r="E435" s="58"/>
    </x:row>
    <x:row r="436">
      <x:c r="A436" s="89"/>
      <x:c r="B436" s="58"/>
      <x:c r="C436" s="58"/>
      <x:c r="D436" s="91"/>
      <x:c r="E436" s="58"/>
    </x:row>
    <x:row r="437">
      <x:c r="A437" s="89"/>
      <x:c r="B437" s="58"/>
      <x:c r="C437" s="58"/>
      <x:c r="D437" s="91"/>
      <x:c r="E437" s="58"/>
    </x:row>
    <x:row r="438">
      <x:c r="A438" s="89"/>
      <x:c r="B438" s="58"/>
      <x:c r="C438" s="58"/>
      <x:c r="D438" s="91"/>
      <x:c r="E438" s="58"/>
    </x:row>
    <x:row r="439">
      <x:c r="A439" s="89"/>
      <x:c r="B439" s="58"/>
      <x:c r="C439" s="58"/>
      <x:c r="D439" s="91"/>
      <x:c r="E439" s="58"/>
    </x:row>
    <x:row r="440">
      <x:c r="A440" s="89"/>
      <x:c r="B440" s="58"/>
      <x:c r="C440" s="58"/>
      <x:c r="D440" s="91"/>
      <x:c r="E440" s="58"/>
    </x:row>
    <x:row r="441">
      <x:c r="A441" s="89"/>
      <x:c r="B441" s="58"/>
      <x:c r="C441" s="58"/>
      <x:c r="D441" s="91"/>
      <x:c r="E441" s="58"/>
    </x:row>
    <x:row r="442">
      <x:c r="A442" s="89"/>
      <x:c r="B442" s="58"/>
      <x:c r="C442" s="58"/>
      <x:c r="D442" s="91"/>
      <x:c r="E442" s="58"/>
    </x:row>
    <x:row r="443">
      <x:c r="A443" s="89"/>
      <x:c r="B443" s="58"/>
      <x:c r="C443" s="58"/>
      <x:c r="D443" s="91"/>
      <x:c r="E443" s="58"/>
    </x:row>
    <x:row r="444">
      <x:c r="A444" s="89"/>
      <x:c r="B444" s="58"/>
      <x:c r="C444" s="58"/>
      <x:c r="D444" s="91"/>
      <x:c r="E444" s="58"/>
    </x:row>
    <x:row r="445">
      <x:c r="A445" s="89"/>
      <x:c r="B445" s="58"/>
      <x:c r="C445" s="58"/>
      <x:c r="D445" s="91"/>
      <x:c r="E445" s="58"/>
    </x:row>
    <x:row r="446">
      <x:c r="A446" s="89"/>
      <x:c r="B446" s="58"/>
      <x:c r="C446" s="58"/>
      <x:c r="D446" s="91"/>
      <x:c r="E446" s="58"/>
    </x:row>
    <x:row r="447">
      <x:c r="A447" s="89"/>
      <x:c r="B447" s="58"/>
      <x:c r="C447" s="58"/>
      <x:c r="D447" s="91"/>
      <x:c r="E447" s="58"/>
    </x:row>
    <x:row r="448">
      <x:c r="A448" s="89"/>
      <x:c r="B448" s="58"/>
      <x:c r="C448" s="58"/>
      <x:c r="D448" s="91"/>
      <x:c r="E448" s="58"/>
    </x:row>
    <x:row r="449">
      <x:c r="A449" s="89"/>
      <x:c r="B449" s="58"/>
      <x:c r="C449" s="58"/>
      <x:c r="D449" s="91"/>
      <x:c r="E449" s="58"/>
    </x:row>
    <x:row r="450">
      <x:c r="A450" s="89"/>
      <x:c r="B450" s="58"/>
      <x:c r="C450" s="58"/>
      <x:c r="D450" s="91"/>
      <x:c r="E450" s="58"/>
    </x:row>
    <x:row r="451">
      <x:c r="A451" s="89"/>
      <x:c r="B451" s="58"/>
      <x:c r="C451" s="58"/>
      <x:c r="D451" s="91"/>
      <x:c r="E451" s="58"/>
    </x:row>
    <x:row r="452">
      <x:c r="A452" s="89"/>
      <x:c r="B452" s="58"/>
      <x:c r="C452" s="58"/>
      <x:c r="D452" s="91"/>
      <x:c r="E452" s="58"/>
    </x:row>
    <x:row r="453">
      <x:c r="A453" s="89"/>
      <x:c r="B453" s="58"/>
      <x:c r="C453" s="58"/>
      <x:c r="D453" s="91"/>
      <x:c r="E453" s="58"/>
    </x:row>
    <x:row r="454">
      <x:c r="A454" s="89"/>
      <x:c r="B454" s="58"/>
      <x:c r="C454" s="58"/>
      <x:c r="D454" s="91"/>
      <x:c r="E454" s="58"/>
    </x:row>
    <x:row r="455">
      <x:c r="A455" s="89"/>
      <x:c r="B455" s="58"/>
      <x:c r="C455" s="58"/>
      <x:c r="D455" s="91"/>
      <x:c r="E455" s="58"/>
    </x:row>
    <x:row r="456">
      <x:c r="A456" s="89"/>
      <x:c r="B456" s="58"/>
      <x:c r="C456" s="58"/>
      <x:c r="D456" s="91"/>
      <x:c r="E456" s="58"/>
    </x:row>
    <x:row r="457">
      <x:c r="A457" s="89"/>
      <x:c r="B457" s="58"/>
      <x:c r="C457" s="58"/>
      <x:c r="D457" s="91"/>
      <x:c r="E457" s="58"/>
    </x:row>
    <x:row r="458">
      <x:c r="A458" s="89"/>
      <x:c r="B458" s="58"/>
      <x:c r="C458" s="58"/>
      <x:c r="D458" s="91"/>
      <x:c r="E458" s="58"/>
    </x:row>
    <x:row r="459">
      <x:c r="A459" s="89"/>
      <x:c r="B459" s="58"/>
      <x:c r="C459" s="58"/>
      <x:c r="D459" s="91"/>
      <x:c r="E459" s="58"/>
    </x:row>
    <x:row r="460">
      <x:c r="A460" s="89"/>
      <x:c r="B460" s="58"/>
      <x:c r="C460" s="58"/>
      <x:c r="D460" s="91"/>
      <x:c r="E460" s="58"/>
    </x:row>
    <x:row r="461">
      <x:c r="A461" s="89"/>
      <x:c r="B461" s="58"/>
      <x:c r="C461" s="58"/>
      <x:c r="D461" s="91"/>
      <x:c r="E461" s="58"/>
    </x:row>
    <x:row r="462">
      <x:c r="A462" s="89"/>
      <x:c r="B462" s="58"/>
      <x:c r="C462" s="58"/>
      <x:c r="D462" s="91"/>
      <x:c r="E462" s="58"/>
    </x:row>
    <x:row r="463">
      <x:c r="A463" s="89"/>
      <x:c r="B463" s="58"/>
      <x:c r="C463" s="58"/>
      <x:c r="D463" s="91"/>
      <x:c r="E463" s="58"/>
    </x:row>
    <x:row r="464">
      <x:c r="A464" s="89"/>
      <x:c r="B464" s="58"/>
      <x:c r="C464" s="58"/>
      <x:c r="D464" s="91"/>
      <x:c r="E464" s="58"/>
    </x:row>
    <x:row r="465">
      <x:c r="A465" s="89"/>
      <x:c r="B465" s="58"/>
      <x:c r="C465" s="58"/>
      <x:c r="D465" s="91"/>
      <x:c r="E465" s="58"/>
    </x:row>
    <x:row r="466">
      <x:c r="A466" s="89"/>
      <x:c r="B466" s="58"/>
      <x:c r="C466" s="58"/>
      <x:c r="D466" s="91"/>
      <x:c r="E466" s="58"/>
    </x:row>
    <x:row r="467">
      <x:c r="A467" s="89"/>
      <x:c r="B467" s="58"/>
      <x:c r="C467" s="58"/>
      <x:c r="D467" s="91"/>
      <x:c r="E467" s="58"/>
    </x:row>
    <x:row r="468">
      <x:c r="A468" s="89"/>
      <x:c r="B468" s="58"/>
      <x:c r="C468" s="58"/>
      <x:c r="D468" s="91"/>
      <x:c r="E468" s="58"/>
    </x:row>
    <x:row r="469">
      <x:c r="A469" s="89"/>
      <x:c r="B469" s="58"/>
      <x:c r="C469" s="58"/>
      <x:c r="D469" s="91"/>
      <x:c r="E469" s="58"/>
    </x:row>
    <x:row r="470">
      <x:c r="A470" s="89"/>
      <x:c r="B470" s="58"/>
      <x:c r="C470" s="58"/>
      <x:c r="D470" s="91"/>
      <x:c r="E470" s="58"/>
    </x:row>
    <x:row r="471">
      <x:c r="A471" s="89"/>
      <x:c r="B471" s="58"/>
      <x:c r="C471" s="58"/>
      <x:c r="D471" s="91"/>
      <x:c r="E471" s="58"/>
    </x:row>
    <x:row r="472">
      <x:c r="A472" s="89"/>
      <x:c r="B472" s="58"/>
      <x:c r="C472" s="58"/>
      <x:c r="D472" s="91"/>
      <x:c r="E472" s="58"/>
    </x:row>
    <x:row r="473">
      <x:c r="A473" s="89"/>
      <x:c r="B473" s="58"/>
      <x:c r="C473" s="58"/>
      <x:c r="D473" s="91"/>
      <x:c r="E473" s="58"/>
    </x:row>
    <x:row r="474">
      <x:c r="A474" s="89"/>
      <x:c r="B474" s="58"/>
      <x:c r="C474" s="58"/>
      <x:c r="D474" s="91"/>
      <x:c r="E474" s="58"/>
    </x:row>
    <x:row r="475">
      <x:c r="A475" s="89"/>
      <x:c r="B475" s="58"/>
      <x:c r="C475" s="58"/>
      <x:c r="D475" s="91"/>
      <x:c r="E475" s="58"/>
    </x:row>
    <x:row r="476">
      <x:c r="A476" s="89"/>
      <x:c r="B476" s="58"/>
      <x:c r="C476" s="58"/>
      <x:c r="D476" s="91"/>
      <x:c r="E476" s="58"/>
    </x:row>
    <x:row r="477">
      <x:c r="A477" s="89"/>
      <x:c r="B477" s="58"/>
      <x:c r="C477" s="58"/>
      <x:c r="D477" s="91"/>
      <x:c r="E477" s="58"/>
    </x:row>
    <x:row r="478">
      <x:c r="A478" s="89"/>
      <x:c r="B478" s="58"/>
      <x:c r="C478" s="58"/>
      <x:c r="D478" s="91"/>
      <x:c r="E478" s="58"/>
    </x:row>
    <x:row r="479">
      <x:c r="A479" s="89"/>
      <x:c r="B479" s="58"/>
      <x:c r="C479" s="58"/>
      <x:c r="D479" s="91"/>
      <x:c r="E479" s="58"/>
    </x:row>
    <x:row r="480">
      <x:c r="A480" s="89"/>
      <x:c r="B480" s="58"/>
      <x:c r="C480" s="58"/>
      <x:c r="D480" s="91"/>
      <x:c r="E480" s="58"/>
    </x:row>
    <x:row r="481">
      <x:c r="A481" s="89"/>
      <x:c r="B481" s="58"/>
      <x:c r="C481" s="58"/>
      <x:c r="D481" s="91"/>
      <x:c r="E481" s="58"/>
    </x:row>
    <x:row r="482">
      <x:c r="A482" s="89"/>
      <x:c r="B482" s="58"/>
      <x:c r="C482" s="58"/>
      <x:c r="D482" s="91"/>
      <x:c r="E482" s="58"/>
    </x:row>
    <x:row r="483">
      <x:c r="A483" s="89"/>
      <x:c r="B483" s="58"/>
      <x:c r="C483" s="58"/>
      <x:c r="D483" s="91"/>
      <x:c r="E483" s="58"/>
    </x:row>
    <x:row r="484">
      <x:c r="A484" s="89"/>
      <x:c r="B484" s="58"/>
      <x:c r="C484" s="58"/>
      <x:c r="D484" s="91"/>
      <x:c r="E484" s="58"/>
    </x:row>
    <x:row r="485">
      <x:c r="A485" s="89"/>
      <x:c r="B485" s="58"/>
      <x:c r="C485" s="58"/>
      <x:c r="D485" s="91"/>
      <x:c r="E485" s="58"/>
    </x:row>
    <x:row r="486">
      <x:c r="A486" s="89"/>
      <x:c r="B486" s="58"/>
      <x:c r="C486" s="58"/>
      <x:c r="D486" s="91"/>
      <x:c r="E486" s="58"/>
    </x:row>
    <x:row r="487">
      <x:c r="A487" s="89"/>
      <x:c r="B487" s="58"/>
      <x:c r="C487" s="58"/>
      <x:c r="D487" s="91"/>
      <x:c r="E487" s="58"/>
    </x:row>
    <x:row r="488">
      <x:c r="A488" s="89"/>
      <x:c r="B488" s="58"/>
      <x:c r="C488" s="58"/>
      <x:c r="D488" s="91"/>
      <x:c r="E488" s="58"/>
    </x:row>
    <x:row r="489">
      <x:c r="A489" s="89"/>
      <x:c r="B489" s="58"/>
      <x:c r="C489" s="58"/>
      <x:c r="D489" s="91"/>
      <x:c r="E489" s="58"/>
    </x:row>
    <x:row r="490">
      <x:c r="A490" s="89"/>
      <x:c r="B490" s="58"/>
      <x:c r="C490" s="58"/>
      <x:c r="D490" s="91"/>
      <x:c r="E490" s="58"/>
    </x:row>
    <x:row r="491">
      <x:c r="A491" s="89"/>
      <x:c r="B491" s="58"/>
      <x:c r="C491" s="58"/>
      <x:c r="D491" s="91"/>
      <x:c r="E491" s="58"/>
    </x:row>
    <x:row r="492">
      <x:c r="A492" s="89"/>
      <x:c r="B492" s="58"/>
      <x:c r="C492" s="58"/>
      <x:c r="D492" s="91"/>
      <x:c r="E492" s="58"/>
    </x:row>
    <x:row r="493">
      <x:c r="A493" s="89"/>
      <x:c r="B493" s="58"/>
      <x:c r="C493" s="58"/>
      <x:c r="D493" s="91"/>
      <x:c r="E493" s="58"/>
    </x:row>
    <x:row r="494">
      <x:c r="A494" s="89"/>
      <x:c r="B494" s="58"/>
      <x:c r="C494" s="58"/>
      <x:c r="D494" s="91"/>
      <x:c r="E494" s="58"/>
    </x:row>
    <x:row r="495">
      <x:c r="A495" s="89"/>
      <x:c r="B495" s="58"/>
      <x:c r="C495" s="58"/>
      <x:c r="D495" s="91"/>
      <x:c r="E495" s="58"/>
    </x:row>
    <x:row r="496">
      <x:c r="A496" s="89"/>
      <x:c r="B496" s="58"/>
      <x:c r="C496" s="58"/>
      <x:c r="D496" s="91"/>
      <x:c r="E496" s="58"/>
    </x:row>
    <x:row r="497">
      <x:c r="A497" s="89"/>
      <x:c r="B497" s="58"/>
      <x:c r="C497" s="58"/>
      <x:c r="D497" s="91"/>
      <x:c r="E497" s="58"/>
    </x:row>
    <x:row r="498">
      <x:c r="A498" s="89"/>
      <x:c r="B498" s="58"/>
      <x:c r="C498" s="58"/>
      <x:c r="D498" s="91"/>
      <x:c r="E498" s="58"/>
    </x:row>
    <x:row r="499">
      <x:c r="A499" s="89"/>
      <x:c r="B499" s="58"/>
      <x:c r="C499" s="58"/>
      <x:c r="D499" s="91"/>
      <x:c r="E499" s="58"/>
    </x:row>
    <x:row r="500">
      <x:c r="A500" s="89"/>
      <x:c r="B500" s="58"/>
      <x:c r="C500" s="58"/>
      <x:c r="D500" s="91"/>
      <x:c r="E500" s="58"/>
    </x:row>
  </x:sheetData>
  <x:dataValidations count="1">
    <x:dataValidation type="list" sqref="B2:C500">
      <x:formula1>Settings!$A$2:$A$3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22" hidden="0" customWidth="1"/>
  </x:cols>
  <x:sheetData>
    <x:row r="1">
      <x:c r="A1" s="45" t="str">
        <x:v>Person</x:v>
      </x:c>
      <x:c r="B1" s="45" t="str">
        <x:v>Total Paid</x:v>
      </x:c>
      <x:c r="C1" s="45" t="str">
        <x:v>Total Share</x:v>
      </x:c>
      <x:c r="D1" s="45" t="str">
        <x:v>Net Payments</x:v>
      </x:c>
      <x:c r="E1" s="45" t="str">
        <x:v>Net Position</x:v>
      </x:c>
      <x:c r="F1" s="45" t="str">
        <x:v>Meaning</x:v>
      </x:c>
    </x:row>
    <x:row r="2">
      <x:c r="A2" s="58" t="str">
        <x:v>Ethan</x:v>
      </x:c>
      <x:c r="B2" s="93" t="n">
        <x:f>SUMIF(Expenses!$E:$E,A2,Expenses!$F:$F)</x:f>
        <x:v>0</x:v>
      </x:c>
      <x:c r="C2" s="93" t="n">
        <x:f>SUM(Expenses!$H:$H)</x:f>
        <x:v>0</x:v>
      </x:c>
      <x:c r="D2" s="93" t="n">
        <x:f>SUMIF(Payments!$B:$B,A2,Payments!$D:$D)-SUMIF(Payments!$C:$C,A2,Payments!$D:$D)</x:f>
        <x:v>0</x:v>
      </x:c>
      <x:c r="E2" s="93" t="n">
        <x:f>B2-C2+D2</x:f>
        <x:v>0</x:v>
      </x:c>
      <x:c r="F2" s="58" t="str">
        <x:f>IF(E2&gt;0,"Is owed $"&amp;TEXT(E2,"0.00"),IF(E2&lt;0,"Owes $"&amp;TEXT(-E2,"0.00"),"Settled"))</x:f>
        <x:v>Settled</x:v>
      </x:c>
    </x:row>
    <x:row r="3">
      <x:c r="A3" s="58" t="str">
        <x:v>Kaya</x:v>
      </x:c>
      <x:c r="B3" s="93" t="n">
        <x:f>SUMIF(Expenses!$E:$E,A3,Expenses!$F:$F)</x:f>
        <x:v>0</x:v>
      </x:c>
      <x:c r="C3" s="93" t="n">
        <x:f>SUM(Expenses!$I:$I)</x:f>
        <x:v>0</x:v>
      </x:c>
      <x:c r="D3" s="93" t="n">
        <x:f>SUMIF(Payments!$B:$B,A3,Payments!$D:$D)-SUMIF(Payments!$C:$C,A3,Payments!$D:$D)</x:f>
        <x:v>0</x:v>
      </x:c>
      <x:c r="E3" s="93" t="n">
        <x:f>B3-C3+D3</x:f>
        <x:v>0</x:v>
      </x:c>
      <x:c r="F3" s="58" t="str">
        <x:f>IF(E3&gt;0,"Is owed $"&amp;TEXT(E3,"0.00"),IF(E3&lt;0,"Owes $"&amp;TEXT(-E3,"0.00"),"Settled"))</x:f>
        <x:v>Settled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>
      <x:c r="A1" s="51" t="str">
        <x:v>Month</x:v>
      </x:c>
      <x:c r="B1" s="51" t="str">
        <x:v>Total Spent</x:v>
      </x:c>
      <x:c r="C1" s="51" t="str">
        <x:v>Groceries</x:v>
      </x:c>
      <x:c r="D1" s="51" t="str">
        <x:v>Restaurants</x:v>
      </x:c>
      <x:c r="E1" s="51" t="str">
        <x:v>Utilities</x:v>
      </x:c>
      <x:c r="F1" s="51" t="str">
        <x:v>Rent</x:v>
      </x:c>
      <x:c r="G1" s="51" t="str">
        <x:v>Other</x:v>
      </x:c>
    </x:row>
    <x:row r="2">
      <x:c r="A2" s="58" t="str">
        <x:v>Jan 2026</x:v>
      </x:c>
      <x:c r="B2" s="91" t="n">
        <x:f>SUMIFS(Expenses!$F:$F,Expenses!$B:$B,"&gt;="&amp;DATEVALUE("1 "&amp;$A2),Expenses!$B:$B,"&lt;"&amp;EDATE(DATEVALUE("1 "&amp;$A2),1))</x:f>
        <x:v>0</x:v>
      </x:c>
      <x:c r="C2" s="91" t="n">
        <x:f>SUMIFS(Expenses!$F:$F,Expenses!$D:$D,C$1,Expenses!$B:$B,"&gt;="&amp;DATEVALUE("1 "&amp;$A2),Expenses!$B:$B,"&lt;"&amp;EDATE(DATEVALUE("1 "&amp;$A2),1))</x:f>
        <x:v>0</x:v>
      </x:c>
      <x:c r="D2" s="91"/>
      <x:c r="E2" s="91"/>
      <x:c r="F2" s="91"/>
      <x:c r="G2" s="91" t="n">
        <x:f>B2-SUM(C2:F2)</x:f>
        <x:v>0</x:v>
      </x:c>
    </x:row>
    <x:row r="3">
      <x:c r="A3" s="58" t="str">
        <x:v>Feb 2026</x:v>
      </x:c>
      <x:c r="B3" s="91" t="n">
        <x:f>SUMIFS(Expenses!$F:$F,Expenses!$B:$B,"&gt;="&amp;DATEVALUE("1 "&amp;$A3),Expenses!$B:$B,"&lt;"&amp;EDATE(DATEVALUE("1 "&amp;$A3),1))</x:f>
        <x:v>0</x:v>
      </x:c>
      <x:c r="C3" s="91" t="n">
        <x:f>SUMIFS(Expenses!$F:$F,Expenses!$D:$D,C$1,Expenses!$B:$B,"&gt;="&amp;DATEVALUE("1 "&amp;$A3),Expenses!$B:$B,"&lt;"&amp;EDATE(DATEVALUE("1 "&amp;$A3),1))</x:f>
        <x:v>0</x:v>
      </x:c>
      <x:c r="D3" s="91"/>
      <x:c r="E3" s="91"/>
      <x:c r="F3" s="91"/>
      <x:c r="G3" s="91" t="n">
        <x:f>B3-SUM(C3:F3)</x:f>
        <x:v>0</x:v>
      </x:c>
    </x:row>
    <x:row r="4">
      <x:c r="A4" s="58" t="str">
        <x:v>Mar 2026</x:v>
      </x:c>
      <x:c r="B4" s="91" t="n">
        <x:f>SUMIFS(Expenses!$F:$F,Expenses!$B:$B,"&gt;="&amp;DATEVALUE("1 "&amp;$A4),Expenses!$B:$B,"&lt;"&amp;EDATE(DATEVALUE("1 "&amp;$A4),1))</x:f>
        <x:v>0</x:v>
      </x:c>
      <x:c r="C4" s="91" t="n">
        <x:f>SUMIFS(Expenses!$F:$F,Expenses!$D:$D,C$1,Expenses!$B:$B,"&gt;="&amp;DATEVALUE("1 "&amp;$A4),Expenses!$B:$B,"&lt;"&amp;EDATE(DATEVALUE("1 "&amp;$A4),1))</x:f>
        <x:v>0</x:v>
      </x:c>
      <x:c r="D4" s="91"/>
      <x:c r="E4" s="91"/>
      <x:c r="F4" s="91"/>
      <x:c r="G4" s="91" t="n">
        <x:f>B4-SUM(C4:F4)</x:f>
        <x:v>0</x:v>
      </x:c>
    </x:row>
    <x:row r="5">
      <x:c r="A5" s="58" t="str">
        <x:v>Apr 2026</x:v>
      </x:c>
      <x:c r="B5" s="91" t="n">
        <x:f>SUMIFS(Expenses!$F:$F,Expenses!$B:$B,"&gt;="&amp;DATEVALUE("1 "&amp;$A5),Expenses!$B:$B,"&lt;"&amp;EDATE(DATEVALUE("1 "&amp;$A5),1))</x:f>
        <x:v>0</x:v>
      </x:c>
      <x:c r="C5" s="91" t="n">
        <x:f>SUMIFS(Expenses!$F:$F,Expenses!$D:$D,C$1,Expenses!$B:$B,"&gt;="&amp;DATEVALUE("1 "&amp;$A5),Expenses!$B:$B,"&lt;"&amp;EDATE(DATEVALUE("1 "&amp;$A5),1))</x:f>
        <x:v>0</x:v>
      </x:c>
      <x:c r="D5" s="91"/>
      <x:c r="E5" s="91"/>
      <x:c r="F5" s="91"/>
      <x:c r="G5" s="91" t="n">
        <x:f>B5-SUM(C5:F5)</x:f>
        <x:v>0</x:v>
      </x:c>
    </x:row>
    <x:row r="6">
      <x:c r="A6" s="58" t="str">
        <x:v>May 2026</x:v>
      </x:c>
      <x:c r="B6" s="91" t="n">
        <x:f>SUMIFS(Expenses!$F:$F,Expenses!$B:$B,"&gt;="&amp;DATEVALUE("1 "&amp;$A6),Expenses!$B:$B,"&lt;"&amp;EDATE(DATEVALUE("1 "&amp;$A6),1))</x:f>
        <x:v>0</x:v>
      </x:c>
      <x:c r="C6" s="91" t="n">
        <x:f>SUMIFS(Expenses!$F:$F,Expenses!$D:$D,C$1,Expenses!$B:$B,"&gt;="&amp;DATEVALUE("1 "&amp;$A6),Expenses!$B:$B,"&lt;"&amp;EDATE(DATEVALUE("1 "&amp;$A6),1))</x:f>
        <x:v>0</x:v>
      </x:c>
      <x:c r="D6" s="91"/>
      <x:c r="E6" s="91"/>
      <x:c r="F6" s="91"/>
      <x:c r="G6" s="91" t="n">
        <x:f>B6-SUM(C6:F6)</x:f>
        <x:v>0</x:v>
      </x:c>
    </x:row>
    <x:row r="7">
      <x:c r="A7" s="58" t="str">
        <x:v>Jun 2026</x:v>
      </x:c>
      <x:c r="B7" s="91" t="n">
        <x:f>SUMIFS(Expenses!$F:$F,Expenses!$B:$B,"&gt;="&amp;DATEVALUE("1 "&amp;$A7),Expenses!$B:$B,"&lt;"&amp;EDATE(DATEVALUE("1 "&amp;$A7),1))</x:f>
        <x:v>0</x:v>
      </x:c>
      <x:c r="C7" s="91" t="n">
        <x:f>SUMIFS(Expenses!$F:$F,Expenses!$D:$D,C$1,Expenses!$B:$B,"&gt;="&amp;DATEVALUE("1 "&amp;$A7),Expenses!$B:$B,"&lt;"&amp;EDATE(DATEVALUE("1 "&amp;$A7),1))</x:f>
        <x:v>0</x:v>
      </x:c>
      <x:c r="D7" s="91"/>
      <x:c r="E7" s="91"/>
      <x:c r="F7" s="91"/>
      <x:c r="G7" s="91" t="n">
        <x:f>B7-SUM(C7:F7)</x:f>
        <x:v>0</x:v>
      </x:c>
    </x:row>
    <x:row r="8">
      <x:c r="A8" s="58" t="str">
        <x:v>Jul 2026</x:v>
      </x:c>
      <x:c r="B8" s="91" t="n">
        <x:f>SUMIFS(Expenses!$F:$F,Expenses!$B:$B,"&gt;="&amp;DATEVALUE("1 "&amp;$A8),Expenses!$B:$B,"&lt;"&amp;EDATE(DATEVALUE("1 "&amp;$A8),1))</x:f>
        <x:v>0</x:v>
      </x:c>
      <x:c r="C8" s="91" t="n">
        <x:f>SUMIFS(Expenses!$F:$F,Expenses!$D:$D,C$1,Expenses!$B:$B,"&gt;="&amp;DATEVALUE("1 "&amp;$A8),Expenses!$B:$B,"&lt;"&amp;EDATE(DATEVALUE("1 "&amp;$A8),1))</x:f>
        <x:v>0</x:v>
      </x:c>
      <x:c r="D8" s="91"/>
      <x:c r="E8" s="91"/>
      <x:c r="F8" s="91"/>
      <x:c r="G8" s="91" t="n">
        <x:f>B8-SUM(C8:F8)</x:f>
        <x:v>0</x:v>
      </x:c>
    </x:row>
    <x:row r="9">
      <x:c r="A9" s="58" t="str">
        <x:v>Aug 2026</x:v>
      </x:c>
      <x:c r="B9" s="91" t="n">
        <x:f>SUMIFS(Expenses!$F:$F,Expenses!$B:$B,"&gt;="&amp;DATEVALUE("1 "&amp;$A9),Expenses!$B:$B,"&lt;"&amp;EDATE(DATEVALUE("1 "&amp;$A9),1))</x:f>
        <x:v>0</x:v>
      </x:c>
      <x:c r="C9" s="91" t="n">
        <x:f>SUMIFS(Expenses!$F:$F,Expenses!$D:$D,C$1,Expenses!$B:$B,"&gt;="&amp;DATEVALUE("1 "&amp;$A9),Expenses!$B:$B,"&lt;"&amp;EDATE(DATEVALUE("1 "&amp;$A9),1))</x:f>
        <x:v>0</x:v>
      </x:c>
      <x:c r="D9" s="91"/>
      <x:c r="E9" s="91"/>
      <x:c r="F9" s="91"/>
      <x:c r="G9" s="91" t="n">
        <x:f>B9-SUM(C9:F9)</x:f>
        <x:v>0</x:v>
      </x:c>
    </x:row>
    <x:row r="10">
      <x:c r="A10" s="58" t="str">
        <x:v>Sep 2026</x:v>
      </x:c>
      <x:c r="B10" s="91" t="n">
        <x:f>SUMIFS(Expenses!$F:$F,Expenses!$B:$B,"&gt;="&amp;DATEVALUE("1 "&amp;$A10),Expenses!$B:$B,"&lt;"&amp;EDATE(DATEVALUE("1 "&amp;$A10),1))</x:f>
        <x:v>0</x:v>
      </x:c>
      <x:c r="C10" s="91" t="n">
        <x:f>SUMIFS(Expenses!$F:$F,Expenses!$D:$D,C$1,Expenses!$B:$B,"&gt;="&amp;DATEVALUE("1 "&amp;$A10),Expenses!$B:$B,"&lt;"&amp;EDATE(DATEVALUE("1 "&amp;$A10),1))</x:f>
        <x:v>0</x:v>
      </x:c>
      <x:c r="D10" s="91"/>
      <x:c r="E10" s="91"/>
      <x:c r="F10" s="91"/>
      <x:c r="G10" s="91" t="n">
        <x:f>B10-SUM(C10:F10)</x:f>
        <x:v>0</x:v>
      </x:c>
    </x:row>
    <x:row r="11">
      <x:c r="A11" s="58" t="str">
        <x:v>Oct 2026</x:v>
      </x:c>
      <x:c r="B11" s="91" t="n">
        <x:f>SUMIFS(Expenses!$F:$F,Expenses!$B:$B,"&gt;="&amp;DATEVALUE("1 "&amp;$A11),Expenses!$B:$B,"&lt;"&amp;EDATE(DATEVALUE("1 "&amp;$A11),1))</x:f>
        <x:v>0</x:v>
      </x:c>
      <x:c r="C11" s="91" t="n">
        <x:f>SUMIFS(Expenses!$F:$F,Expenses!$D:$D,C$1,Expenses!$B:$B,"&gt;="&amp;DATEVALUE("1 "&amp;$A11),Expenses!$B:$B,"&lt;"&amp;EDATE(DATEVALUE("1 "&amp;$A11),1))</x:f>
        <x:v>0</x:v>
      </x:c>
      <x:c r="D11" s="91"/>
      <x:c r="E11" s="91"/>
      <x:c r="F11" s="91"/>
      <x:c r="G11" s="91" t="n">
        <x:f>B11-SUM(C11:F11)</x:f>
        <x:v>0</x:v>
      </x:c>
    </x:row>
    <x:row r="12">
      <x:c r="A12" s="58" t="str">
        <x:v>Nov 2026</x:v>
      </x:c>
      <x:c r="B12" s="91" t="n">
        <x:f>SUMIFS(Expenses!$F:$F,Expenses!$B:$B,"&gt;="&amp;DATEVALUE("1 "&amp;$A12),Expenses!$B:$B,"&lt;"&amp;EDATE(DATEVALUE("1 "&amp;$A12),1))</x:f>
        <x:v>0</x:v>
      </x:c>
      <x:c r="C12" s="91" t="n">
        <x:f>SUMIFS(Expenses!$F:$F,Expenses!$D:$D,C$1,Expenses!$B:$B,"&gt;="&amp;DATEVALUE("1 "&amp;$A12),Expenses!$B:$B,"&lt;"&amp;EDATE(DATEVALUE("1 "&amp;$A12),1))</x:f>
        <x:v>0</x:v>
      </x:c>
      <x:c r="D12" s="91"/>
      <x:c r="E12" s="91"/>
      <x:c r="F12" s="91"/>
      <x:c r="G12" s="91" t="n">
        <x:f>B12-SUM(C12:F12)</x:f>
        <x:v>0</x:v>
      </x:c>
    </x:row>
    <x:row r="13">
      <x:c r="A13" s="58" t="str">
        <x:v>Dec 2026</x:v>
      </x:c>
      <x:c r="B13" s="91" t="n">
        <x:f>SUMIFS(Expenses!$F:$F,Expenses!$B:$B,"&gt;="&amp;DATEVALUE("1 "&amp;$A13),Expenses!$B:$B,"&lt;"&amp;EDATE(DATEVALUE("1 "&amp;$A13),1))</x:f>
        <x:v>0</x:v>
      </x:c>
      <x:c r="C13" s="91" t="n">
        <x:f>SUMIFS(Expenses!$F:$F,Expenses!$D:$D,C$1,Expenses!$B:$B,"&gt;="&amp;DATEVALUE("1 "&amp;$A13),Expenses!$B:$B,"&lt;"&amp;EDATE(DATEVALUE("1 "&amp;$A13),1))</x:f>
        <x:v>0</x:v>
      </x:c>
      <x:c r="D13" s="91"/>
      <x:c r="E13" s="91"/>
      <x:c r="F13" s="91"/>
      <x:c r="G13" s="91" t="n">
        <x:f>B13-SUM(C13:F13)</x:f>
        <x:v>0</x:v>
      </x:c>
    </x:row>
    <x:row r="14">
      <x:c r="A14" s="58" t="str">
        <x:v>Jan 2027</x:v>
      </x:c>
      <x:c r="B14" s="91" t="n">
        <x:f>SUMIFS(Expenses!$F:$F,Expenses!$B:$B,"&gt;="&amp;DATEVALUE("1 "&amp;$A14),Expenses!$B:$B,"&lt;"&amp;EDATE(DATEVALUE("1 "&amp;$A14),1))</x:f>
        <x:v>0</x:v>
      </x:c>
      <x:c r="C14" s="91" t="n">
        <x:f>SUMIFS(Expenses!$F:$F,Expenses!$D:$D,C$1,Expenses!$B:$B,"&gt;="&amp;DATEVALUE("1 "&amp;$A14),Expenses!$B:$B,"&lt;"&amp;EDATE(DATEVALUE("1 "&amp;$A14),1))</x:f>
        <x:v>0</x:v>
      </x:c>
      <x:c r="D14" s="91"/>
      <x:c r="E14" s="91"/>
      <x:c r="F14" s="91"/>
      <x:c r="G14" s="91" t="n">
        <x:f>B14-SUM(C14:F14)</x:f>
        <x:v>0</x:v>
      </x:c>
    </x:row>
    <x:row r="15">
      <x:c r="A15" s="58" t="str">
        <x:v>Feb 2027</x:v>
      </x:c>
      <x:c r="B15" s="91" t="n">
        <x:f>SUMIFS(Expenses!$F:$F,Expenses!$B:$B,"&gt;="&amp;DATEVALUE("1 "&amp;$A15),Expenses!$B:$B,"&lt;"&amp;EDATE(DATEVALUE("1 "&amp;$A15),1))</x:f>
        <x:v>0</x:v>
      </x:c>
      <x:c r="C15" s="91" t="n">
        <x:f>SUMIFS(Expenses!$F:$F,Expenses!$D:$D,C$1,Expenses!$B:$B,"&gt;="&amp;DATEVALUE("1 "&amp;$A15),Expenses!$B:$B,"&lt;"&amp;EDATE(DATEVALUE("1 "&amp;$A15),1))</x:f>
        <x:v>0</x:v>
      </x:c>
      <x:c r="D15" s="91"/>
      <x:c r="E15" s="91"/>
      <x:c r="F15" s="91"/>
      <x:c r="G15" s="91" t="n">
        <x:f>B15-SUM(C15:F15)</x:f>
        <x:v>0</x:v>
      </x:c>
    </x:row>
    <x:row r="16">
      <x:c r="A16" s="58" t="str">
        <x:v>Mar 2027</x:v>
      </x:c>
      <x:c r="B16" s="91" t="n">
        <x:f>SUMIFS(Expenses!$F:$F,Expenses!$B:$B,"&gt;="&amp;DATEVALUE("1 "&amp;$A16),Expenses!$B:$B,"&lt;"&amp;EDATE(DATEVALUE("1 "&amp;$A16),1))</x:f>
        <x:v>0</x:v>
      </x:c>
      <x:c r="C16" s="91" t="n">
        <x:f>SUMIFS(Expenses!$F:$F,Expenses!$D:$D,C$1,Expenses!$B:$B,"&gt;="&amp;DATEVALUE("1 "&amp;$A16),Expenses!$B:$B,"&lt;"&amp;EDATE(DATEVALUE("1 "&amp;$A16),1))</x:f>
        <x:v>0</x:v>
      </x:c>
      <x:c r="D16" s="91"/>
      <x:c r="E16" s="91"/>
      <x:c r="F16" s="91"/>
      <x:c r="G16" s="91" t="n">
        <x:f>B16-SUM(C16:F16)</x:f>
        <x:v>0</x:v>
      </x:c>
    </x:row>
    <x:row r="17">
      <x:c r="A17" s="58" t="str">
        <x:v>Apr 2027</x:v>
      </x:c>
      <x:c r="B17" s="91" t="n">
        <x:f>SUMIFS(Expenses!$F:$F,Expenses!$B:$B,"&gt;="&amp;DATEVALUE("1 "&amp;$A17),Expenses!$B:$B,"&lt;"&amp;EDATE(DATEVALUE("1 "&amp;$A17),1))</x:f>
        <x:v>0</x:v>
      </x:c>
      <x:c r="C17" s="91" t="n">
        <x:f>SUMIFS(Expenses!$F:$F,Expenses!$D:$D,C$1,Expenses!$B:$B,"&gt;="&amp;DATEVALUE("1 "&amp;$A17),Expenses!$B:$B,"&lt;"&amp;EDATE(DATEVALUE("1 "&amp;$A17),1))</x:f>
        <x:v>0</x:v>
      </x:c>
      <x:c r="D17" s="91"/>
      <x:c r="E17" s="91"/>
      <x:c r="F17" s="91"/>
      <x:c r="G17" s="91" t="n">
        <x:f>B17-SUM(C17:F17)</x:f>
        <x:v>0</x:v>
      </x:c>
    </x:row>
    <x:row r="18">
      <x:c r="A18" s="58" t="str">
        <x:v>May 2027</x:v>
      </x:c>
      <x:c r="B18" s="91" t="n">
        <x:f>SUMIFS(Expenses!$F:$F,Expenses!$B:$B,"&gt;="&amp;DATEVALUE("1 "&amp;$A18),Expenses!$B:$B,"&lt;"&amp;EDATE(DATEVALUE("1 "&amp;$A18),1))</x:f>
        <x:v>0</x:v>
      </x:c>
      <x:c r="C18" s="91" t="n">
        <x:f>SUMIFS(Expenses!$F:$F,Expenses!$D:$D,C$1,Expenses!$B:$B,"&gt;="&amp;DATEVALUE("1 "&amp;$A18),Expenses!$B:$B,"&lt;"&amp;EDATE(DATEVALUE("1 "&amp;$A18),1))</x:f>
        <x:v>0</x:v>
      </x:c>
      <x:c r="D18" s="91"/>
      <x:c r="E18" s="91"/>
      <x:c r="F18" s="91"/>
      <x:c r="G18" s="91" t="n">
        <x:f>B18-SUM(C18:F18)</x:f>
        <x:v>0</x:v>
      </x:c>
    </x:row>
    <x:row r="19">
      <x:c r="A19" s="58" t="str">
        <x:v>Jun 2027</x:v>
      </x:c>
      <x:c r="B19" s="91" t="n">
        <x:f>SUMIFS(Expenses!$F:$F,Expenses!$B:$B,"&gt;="&amp;DATEVALUE("1 "&amp;$A19),Expenses!$B:$B,"&lt;"&amp;EDATE(DATEVALUE("1 "&amp;$A19),1))</x:f>
        <x:v>0</x:v>
      </x:c>
      <x:c r="C19" s="91" t="n">
        <x:f>SUMIFS(Expenses!$F:$F,Expenses!$D:$D,C$1,Expenses!$B:$B,"&gt;="&amp;DATEVALUE("1 "&amp;$A19),Expenses!$B:$B,"&lt;"&amp;EDATE(DATEVALUE("1 "&amp;$A19),1))</x:f>
        <x:v>0</x:v>
      </x:c>
      <x:c r="D19" s="91"/>
      <x:c r="E19" s="91"/>
      <x:c r="F19" s="91"/>
      <x:c r="G19" s="91" t="n">
        <x:f>B19-SUM(C19:F19)</x:f>
        <x:v>0</x:v>
      </x:c>
    </x:row>
    <x:row r="20">
      <x:c r="A20" s="58" t="str">
        <x:v>Jul 2027</x:v>
      </x:c>
      <x:c r="B20" s="91" t="n">
        <x:f>SUMIFS(Expenses!$F:$F,Expenses!$B:$B,"&gt;="&amp;DATEVALUE("1 "&amp;$A20),Expenses!$B:$B,"&lt;"&amp;EDATE(DATEVALUE("1 "&amp;$A20),1))</x:f>
        <x:v>0</x:v>
      </x:c>
      <x:c r="C20" s="91" t="n">
        <x:f>SUMIFS(Expenses!$F:$F,Expenses!$D:$D,C$1,Expenses!$B:$B,"&gt;="&amp;DATEVALUE("1 "&amp;$A20),Expenses!$B:$B,"&lt;"&amp;EDATE(DATEVALUE("1 "&amp;$A20),1))</x:f>
        <x:v>0</x:v>
      </x:c>
      <x:c r="D20" s="91"/>
      <x:c r="E20" s="91"/>
      <x:c r="F20" s="91"/>
      <x:c r="G20" s="91" t="n">
        <x:f>B20-SUM(C20:F20)</x:f>
        <x:v>0</x:v>
      </x:c>
    </x:row>
    <x:row r="21">
      <x:c r="A21" s="58" t="str">
        <x:v>Aug 2027</x:v>
      </x:c>
      <x:c r="B21" s="91" t="n">
        <x:f>SUMIFS(Expenses!$F:$F,Expenses!$B:$B,"&gt;="&amp;DATEVALUE("1 "&amp;$A21),Expenses!$B:$B,"&lt;"&amp;EDATE(DATEVALUE("1 "&amp;$A21),1))</x:f>
        <x:v>0</x:v>
      </x:c>
      <x:c r="C21" s="91" t="n">
        <x:f>SUMIFS(Expenses!$F:$F,Expenses!$D:$D,C$1,Expenses!$B:$B,"&gt;="&amp;DATEVALUE("1 "&amp;$A21),Expenses!$B:$B,"&lt;"&amp;EDATE(DATEVALUE("1 "&amp;$A21),1))</x:f>
        <x:v>0</x:v>
      </x:c>
      <x:c r="D21" s="91"/>
      <x:c r="E21" s="91"/>
      <x:c r="F21" s="91"/>
      <x:c r="G21" s="91" t="n">
        <x:f>B21-SUM(C21:F21)</x:f>
        <x:v>0</x:v>
      </x:c>
    </x:row>
    <x:row r="22">
      <x:c r="A22" s="58" t="str">
        <x:v>Sep 2027</x:v>
      </x:c>
      <x:c r="B22" s="91" t="n">
        <x:f>SUMIFS(Expenses!$F:$F,Expenses!$B:$B,"&gt;="&amp;DATEVALUE("1 "&amp;$A22),Expenses!$B:$B,"&lt;"&amp;EDATE(DATEVALUE("1 "&amp;$A22),1))</x:f>
        <x:v>0</x:v>
      </x:c>
      <x:c r="C22" s="91" t="n">
        <x:f>SUMIFS(Expenses!$F:$F,Expenses!$D:$D,C$1,Expenses!$B:$B,"&gt;="&amp;DATEVALUE("1 "&amp;$A22),Expenses!$B:$B,"&lt;"&amp;EDATE(DATEVALUE("1 "&amp;$A22),1))</x:f>
        <x:v>0</x:v>
      </x:c>
      <x:c r="D22" s="91"/>
      <x:c r="E22" s="91"/>
      <x:c r="F22" s="91"/>
      <x:c r="G22" s="91" t="n">
        <x:f>B22-SUM(C22:F22)</x:f>
        <x:v>0</x:v>
      </x:c>
    </x:row>
    <x:row r="23">
      <x:c r="A23" s="58" t="str">
        <x:v>Oct 2027</x:v>
      </x:c>
      <x:c r="B23" s="91" t="n">
        <x:f>SUMIFS(Expenses!$F:$F,Expenses!$B:$B,"&gt;="&amp;DATEVALUE("1 "&amp;$A23),Expenses!$B:$B,"&lt;"&amp;EDATE(DATEVALUE("1 "&amp;$A23),1))</x:f>
        <x:v>0</x:v>
      </x:c>
      <x:c r="C23" s="91" t="n">
        <x:f>SUMIFS(Expenses!$F:$F,Expenses!$D:$D,C$1,Expenses!$B:$B,"&gt;="&amp;DATEVALUE("1 "&amp;$A23),Expenses!$B:$B,"&lt;"&amp;EDATE(DATEVALUE("1 "&amp;$A23),1))</x:f>
        <x:v>0</x:v>
      </x:c>
      <x:c r="D23" s="91"/>
      <x:c r="E23" s="91"/>
      <x:c r="F23" s="91"/>
      <x:c r="G23" s="91" t="n">
        <x:f>B23-SUM(C23:F23)</x:f>
        <x:v>0</x:v>
      </x:c>
    </x:row>
    <x:row r="24">
      <x:c r="A24" s="58" t="str">
        <x:v>Nov 2027</x:v>
      </x:c>
      <x:c r="B24" s="91" t="n">
        <x:f>SUMIFS(Expenses!$F:$F,Expenses!$B:$B,"&gt;="&amp;DATEVALUE("1 "&amp;$A24),Expenses!$B:$B,"&lt;"&amp;EDATE(DATEVALUE("1 "&amp;$A24),1))</x:f>
        <x:v>0</x:v>
      </x:c>
      <x:c r="C24" s="91" t="n">
        <x:f>SUMIFS(Expenses!$F:$F,Expenses!$D:$D,C$1,Expenses!$B:$B,"&gt;="&amp;DATEVALUE("1 "&amp;$A24),Expenses!$B:$B,"&lt;"&amp;EDATE(DATEVALUE("1 "&amp;$A24),1))</x:f>
        <x:v>0</x:v>
      </x:c>
      <x:c r="D24" s="91"/>
      <x:c r="E24" s="91"/>
      <x:c r="F24" s="91"/>
      <x:c r="G24" s="91" t="n">
        <x:f>B24-SUM(C24:F24)</x:f>
        <x:v>0</x:v>
      </x:c>
    </x:row>
    <x:row r="25">
      <x:c r="A25" s="58" t="str">
        <x:v>Dec 2027</x:v>
      </x:c>
      <x:c r="B25" s="91" t="n">
        <x:f>SUMIFS(Expenses!$F:$F,Expenses!$B:$B,"&gt;="&amp;DATEVALUE("1 "&amp;$A25),Expenses!$B:$B,"&lt;"&amp;EDATE(DATEVALUE("1 "&amp;$A25),1))</x:f>
        <x:v>0</x:v>
      </x:c>
      <x:c r="C25" s="91" t="n">
        <x:f>SUMIFS(Expenses!$F:$F,Expenses!$D:$D,C$1,Expenses!$B:$B,"&gt;="&amp;DATEVALUE("1 "&amp;$A25),Expenses!$B:$B,"&lt;"&amp;EDATE(DATEVALUE("1 "&amp;$A25),1))</x:f>
        <x:v>0</x:v>
      </x:c>
      <x:c r="D25" s="91"/>
      <x:c r="E25" s="91"/>
      <x:c r="F25" s="91"/>
      <x:c r="G25" s="91" t="n">
        <x:f>B25-SUM(C25:F25)</x:f>
        <x:v>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>
      <x:c r="A1" s="44" t="str">
        <x:v>People</x:v>
      </x:c>
      <x:c r="B1" s="44" t="str">
        <x:v>Categories</x:v>
      </x:c>
      <x:c r="C1" s="44" t="str">
        <x:v>Split Presets (Ethan/Kaya)</x:v>
      </x:c>
      <x:c r="D1" s="44"/>
      <x:c r="E1" s="44" t="str">
        <x:v>Dashboard Periods</x:v>
      </x:c>
    </x:row>
    <x:row r="2">
      <x:c r="A2" t="str">
        <x:v>Ethan</x:v>
      </x:c>
      <x:c r="B2" t="str">
        <x:v>Groceries</x:v>
      </x:c>
      <x:c r="C2" t="str">
        <x:v>100/0</x:v>
      </x:c>
      <x:c r="E2" t="str">
        <x:v>All Time</x:v>
      </x:c>
    </x:row>
    <x:row r="3">
      <x:c r="A3" t="str">
        <x:v>Kaya</x:v>
      </x:c>
      <x:c r="B3" t="str">
        <x:v>Restaurants</x:v>
      </x:c>
      <x:c r="C3" t="str">
        <x:v>90/10</x:v>
      </x:c>
      <x:c r="E3" t="str">
        <x:v>Jan 2026</x:v>
      </x:c>
    </x:row>
    <x:row r="4">
      <x:c r="B4" t="str">
        <x:v>Rent</x:v>
      </x:c>
      <x:c r="C4" t="str">
        <x:v>80/20</x:v>
      </x:c>
      <x:c r="E4" t="str">
        <x:v>Feb 2026</x:v>
      </x:c>
    </x:row>
    <x:row r="5">
      <x:c r="B5" t="str">
        <x:v>Utilities</x:v>
      </x:c>
      <x:c r="C5" t="str">
        <x:v>70/30</x:v>
      </x:c>
      <x:c r="E5" t="str">
        <x:v>Mar 2026</x:v>
      </x:c>
    </x:row>
    <x:row r="6">
      <x:c r="B6" t="str">
        <x:v>Transportation</x:v>
      </x:c>
      <x:c r="C6" t="str">
        <x:v>60/40</x:v>
      </x:c>
      <x:c r="E6" t="str">
        <x:v>Apr 2026</x:v>
      </x:c>
    </x:row>
    <x:row r="7">
      <x:c r="B7" t="str">
        <x:v>Gas</x:v>
      </x:c>
      <x:c r="C7" t="str">
        <x:v>50/50</x:v>
      </x:c>
      <x:c r="E7" t="str">
        <x:v>May 2026</x:v>
      </x:c>
    </x:row>
    <x:row r="8">
      <x:c r="B8" t="str">
        <x:v>Household</x:v>
      </x:c>
      <x:c r="C8" t="str">
        <x:v>40/60</x:v>
      </x:c>
      <x:c r="E8" t="str">
        <x:v>Jun 2026</x:v>
      </x:c>
    </x:row>
    <x:row r="9">
      <x:c r="B9" t="str">
        <x:v>Entertainment</x:v>
      </x:c>
      <x:c r="C9" t="str">
        <x:v>30/70</x:v>
      </x:c>
      <x:c r="E9" t="str">
        <x:v>Jul 2026</x:v>
      </x:c>
    </x:row>
    <x:row r="10">
      <x:c r="B10" t="str">
        <x:v>Travel</x:v>
      </x:c>
      <x:c r="C10" t="str">
        <x:v>20/80</x:v>
      </x:c>
      <x:c r="E10" t="str">
        <x:v>Aug 2026</x:v>
      </x:c>
    </x:row>
    <x:row r="11">
      <x:c r="B11" t="str">
        <x:v>Health</x:v>
      </x:c>
      <x:c r="C11" t="str">
        <x:v>10/90</x:v>
      </x:c>
      <x:c r="E11" t="str">
        <x:v>Sep 2026</x:v>
      </x:c>
    </x:row>
    <x:row r="12">
      <x:c r="B12" t="str">
        <x:v>Gifts</x:v>
      </x:c>
      <x:c r="C12" t="str">
        <x:v>0/100</x:v>
      </x:c>
      <x:c r="E12" t="str">
        <x:v>Oct 2026</x:v>
      </x:c>
    </x:row>
    <x:row r="13">
      <x:c r="B13" t="str">
        <x:v>Shopping</x:v>
      </x:c>
      <x:c r="E13" t="str">
        <x:v>Nov 2026</x:v>
      </x:c>
    </x:row>
    <x:row r="14">
      <x:c r="B14" t="str">
        <x:v>Other</x:v>
      </x:c>
      <x:c r="E14" t="str">
        <x:v>Dec 2026</x:v>
      </x:c>
    </x:row>
    <x:row r="15">
      <x:c r="E15" t="str">
        <x:v>Jan 2027</x:v>
      </x:c>
    </x:row>
    <x:row r="16">
      <x:c r="E16" t="str">
        <x:v>Feb 2027</x:v>
      </x:c>
    </x:row>
    <x:row r="17">
      <x:c r="E17" t="str">
        <x:v>Mar 2027</x:v>
      </x:c>
    </x:row>
    <x:row r="18">
      <x:c r="E18" t="str">
        <x:v>Apr 2027</x:v>
      </x:c>
    </x:row>
    <x:row r="19">
      <x:c r="E19" t="str">
        <x:v>May 2027</x:v>
      </x:c>
    </x:row>
    <x:row r="20">
      <x:c r="E20" t="str">
        <x:v>Jun 2027</x:v>
      </x:c>
    </x:row>
    <x:row r="21">
      <x:c r="E21" t="str">
        <x:v>Jul 2027</x:v>
      </x:c>
    </x:row>
    <x:row r="22">
      <x:c r="E22" t="str">
        <x:v>Aug 2027</x:v>
      </x:c>
    </x:row>
    <x:row r="23">
      <x:c r="E23" t="str">
        <x:v>Sep 2027</x:v>
      </x:c>
    </x:row>
    <x:row r="24">
      <x:c r="E24" t="str">
        <x:v>Oct 2027</x:v>
      </x:c>
    </x:row>
    <x:row r="25">
      <x:c r="E25" t="str">
        <x:v>Nov 2027</x:v>
      </x:c>
    </x:row>
    <x:row r="26">
      <x:c r="E26" t="str">
        <x:v>Dec 2027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34" hidden="0" customWidth="1"/>
    <x:col min="6" max="6" width="18" hidden="0" customWidth="1"/>
    <x:col min="7" max="7" width="18" hidden="0" customWidth="1"/>
  </x:cols>
  <x:sheetData>
    <x:row r="1">
      <x:c r="A1" s="98" t="str">
        <x:v>Timestamp</x:v>
      </x:c>
      <x:c r="B1" s="97" t="str">
        <x:v>Type</x:v>
      </x:c>
      <x:c r="C1" s="97" t="str">
        <x:v>Sheet</x:v>
      </x:c>
      <x:c r="D1" s="97" t="str">
        <x:v>Row</x:v>
      </x:c>
      <x:c r="E1" s="97" t="str">
        <x:v>Summary</x:v>
      </x:c>
      <x:c r="F1" s="99" t="str">
        <x:v>Amount</x:v>
      </x:c>
      <x:c r="G1" s="97" t="str">
        <x:v>Status</x:v>
      </x:c>
    </x:row>
    <x:row r="3">
      <x:c r="A3" s="101" t="str">
        <x:v>Used by the web app for Undo Last Entry. You can leave this sheet alone.</x:v>
      </x:c>
      <x:c r="B3" s="101"/>
      <x:c r="C3" s="101"/>
      <x:c r="D3" s="101"/>
      <x:c r="E3" s="101"/>
      <x:c r="F3" s="101"/>
      <x:c r="G3" s="101"/>
    </x:row>
  </x:sheetData>
  <x:pageMargins left="0.7" right="0.7" top="0.75" bottom="0.75" header="0.3" footer="0.3"/>
</x:worksheet>
</file>